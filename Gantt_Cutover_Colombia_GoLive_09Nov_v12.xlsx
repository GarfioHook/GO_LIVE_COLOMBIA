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pjypl-my.sharepoint.com/personal/gsalinas_pjportland_cl/Documents/_AutomationUI/Gantt/RetroPlanning/Colombia/"/>
    </mc:Choice>
  </mc:AlternateContent>
  <xr:revisionPtr revIDLastSave="5" documentId="11_DFCE136AB520F1D52948A74420099101C53FFB62" xr6:coauthVersionLast="47" xr6:coauthVersionMax="47" xr10:uidLastSave="{531D8B1B-0B47-45A0-A342-12DBB1270BCF}"/>
  <bookViews>
    <workbookView xWindow="-108" yWindow="-108" windowWidth="23256" windowHeight="12456" tabRatio="500" xr2:uid="{00000000-000D-0000-FFFF-FFFF00000000}"/>
  </bookViews>
  <sheets>
    <sheet name="Gantt Cutover" sheetId="1" r:id="rId1"/>
    <sheet name="Resumen" sheetId="2" r:id="rId2"/>
    <sheet name="Hoy" sheetId="3" r:id="rId3"/>
    <sheet name="Equipo y Calendario" sheetId="4" r:id="rId4"/>
  </sheets>
  <definedNames>
    <definedName name="_xlnm._FilterDatabase" localSheetId="0" hidden="1">'Gantt Cutover'!$A$5:$O$63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3" l="1"/>
  <c r="N31" i="1" s="1"/>
  <c r="AZ31" i="1" s="1"/>
  <c r="BA31" i="1" s="1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9" i="2"/>
  <c r="F39" i="2"/>
  <c r="E39" i="2"/>
  <c r="D39" i="2"/>
  <c r="C39" i="2"/>
  <c r="G38" i="2"/>
  <c r="F38" i="2"/>
  <c r="E38" i="2"/>
  <c r="D38" i="2"/>
  <c r="C38" i="2"/>
  <c r="E34" i="2"/>
  <c r="D34" i="2"/>
  <c r="C34" i="2"/>
  <c r="F34" i="2" s="1"/>
  <c r="B34" i="2"/>
  <c r="E33" i="2"/>
  <c r="D33" i="2"/>
  <c r="C33" i="2"/>
  <c r="F33" i="2" s="1"/>
  <c r="B33" i="2"/>
  <c r="E32" i="2"/>
  <c r="D32" i="2"/>
  <c r="C32" i="2"/>
  <c r="F32" i="2" s="1"/>
  <c r="B32" i="2"/>
  <c r="E31" i="2"/>
  <c r="D31" i="2"/>
  <c r="C31" i="2"/>
  <c r="F31" i="2" s="1"/>
  <c r="B31" i="2"/>
  <c r="E30" i="2"/>
  <c r="D30" i="2"/>
  <c r="C30" i="2"/>
  <c r="F30" i="2" s="1"/>
  <c r="B30" i="2"/>
  <c r="E29" i="2"/>
  <c r="D29" i="2"/>
  <c r="C29" i="2"/>
  <c r="F29" i="2" s="1"/>
  <c r="B29" i="2"/>
  <c r="E28" i="2"/>
  <c r="D28" i="2"/>
  <c r="C28" i="2"/>
  <c r="F28" i="2" s="1"/>
  <c r="B28" i="2"/>
  <c r="E27" i="2"/>
  <c r="D27" i="2"/>
  <c r="C27" i="2"/>
  <c r="F27" i="2" s="1"/>
  <c r="B27" i="2"/>
  <c r="E26" i="2"/>
  <c r="D26" i="2"/>
  <c r="C26" i="2"/>
  <c r="F26" i="2" s="1"/>
  <c r="B26" i="2"/>
  <c r="E25" i="2"/>
  <c r="D25" i="2"/>
  <c r="C25" i="2"/>
  <c r="F25" i="2" s="1"/>
  <c r="B25" i="2"/>
  <c r="E24" i="2"/>
  <c r="D24" i="2"/>
  <c r="C24" i="2"/>
  <c r="F24" i="2" s="1"/>
  <c r="B24" i="2"/>
  <c r="E23" i="2"/>
  <c r="D23" i="2"/>
  <c r="C23" i="2"/>
  <c r="F23" i="2" s="1"/>
  <c r="B23" i="2"/>
  <c r="I19" i="2"/>
  <c r="H19" i="2"/>
  <c r="G19" i="2"/>
  <c r="F19" i="2"/>
  <c r="E19" i="2"/>
  <c r="I18" i="2"/>
  <c r="H18" i="2"/>
  <c r="G18" i="2"/>
  <c r="F18" i="2"/>
  <c r="E18" i="2"/>
  <c r="I17" i="2"/>
  <c r="H17" i="2"/>
  <c r="G17" i="2"/>
  <c r="F17" i="2"/>
  <c r="E17" i="2"/>
  <c r="D17" i="2"/>
  <c r="C17" i="2"/>
  <c r="I16" i="2"/>
  <c r="H16" i="2"/>
  <c r="G16" i="2"/>
  <c r="F16" i="2"/>
  <c r="E16" i="2"/>
  <c r="D16" i="2"/>
  <c r="C16" i="2"/>
  <c r="I15" i="2"/>
  <c r="H15" i="2"/>
  <c r="G15" i="2"/>
  <c r="F15" i="2"/>
  <c r="E15" i="2"/>
  <c r="D15" i="2"/>
  <c r="C15" i="2"/>
  <c r="I14" i="2"/>
  <c r="H14" i="2"/>
  <c r="G14" i="2"/>
  <c r="F14" i="2"/>
  <c r="E14" i="2"/>
  <c r="D14" i="2"/>
  <c r="C14" i="2"/>
  <c r="I13" i="2"/>
  <c r="H13" i="2"/>
  <c r="G13" i="2"/>
  <c r="F13" i="2"/>
  <c r="E13" i="2"/>
  <c r="I12" i="2"/>
  <c r="H12" i="2"/>
  <c r="G12" i="2"/>
  <c r="F12" i="2"/>
  <c r="E12" i="2"/>
  <c r="I11" i="2"/>
  <c r="H11" i="2"/>
  <c r="G11" i="2"/>
  <c r="F11" i="2"/>
  <c r="E11" i="2"/>
  <c r="I10" i="2"/>
  <c r="H10" i="2"/>
  <c r="G10" i="2"/>
  <c r="F10" i="2"/>
  <c r="E10" i="2"/>
  <c r="I6" i="2"/>
  <c r="F6" i="2"/>
  <c r="E6" i="2"/>
  <c r="D6" i="2"/>
  <c r="C6" i="2"/>
  <c r="B6" i="2"/>
  <c r="B3" i="2"/>
  <c r="AX63" i="1"/>
  <c r="AY63" i="1" s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N63" i="1"/>
  <c r="AZ63" i="1" s="1"/>
  <c r="BA63" i="1" s="1"/>
  <c r="L63" i="1"/>
  <c r="AX62" i="1"/>
  <c r="AY62" i="1" s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N62" i="1"/>
  <c r="AZ62" i="1" s="1"/>
  <c r="BA62" i="1" s="1"/>
  <c r="L62" i="1"/>
  <c r="AX61" i="1"/>
  <c r="AY61" i="1" s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N61" i="1"/>
  <c r="AZ61" i="1" s="1"/>
  <c r="BA61" i="1" s="1"/>
  <c r="L61" i="1"/>
  <c r="AX60" i="1"/>
  <c r="AY60" i="1" s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N60" i="1"/>
  <c r="AZ60" i="1" s="1"/>
  <c r="BA60" i="1" s="1"/>
  <c r="L60" i="1"/>
  <c r="AX59" i="1"/>
  <c r="AY59" i="1" s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N59" i="1"/>
  <c r="AZ59" i="1" s="1"/>
  <c r="BA59" i="1" s="1"/>
  <c r="L59" i="1"/>
  <c r="O58" i="1"/>
  <c r="N58" i="1"/>
  <c r="K19" i="2" s="1"/>
  <c r="M58" i="1"/>
  <c r="L19" i="2" s="1"/>
  <c r="K58" i="1"/>
  <c r="J58" i="1"/>
  <c r="C19" i="2" s="1"/>
  <c r="AX57" i="1"/>
  <c r="AY57" i="1" s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N57" i="1"/>
  <c r="AZ57" i="1" s="1"/>
  <c r="BA57" i="1" s="1"/>
  <c r="L57" i="1"/>
  <c r="AX56" i="1"/>
  <c r="AY56" i="1" s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N56" i="1"/>
  <c r="AZ56" i="1" s="1"/>
  <c r="BA56" i="1" s="1"/>
  <c r="L56" i="1"/>
  <c r="AX55" i="1"/>
  <c r="AY55" i="1" s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N55" i="1"/>
  <c r="L55" i="1"/>
  <c r="AX54" i="1"/>
  <c r="AY54" i="1" s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L54" i="1"/>
  <c r="O53" i="1"/>
  <c r="K53" i="1"/>
  <c r="J53" i="1"/>
  <c r="C18" i="2" s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L52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L51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L50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L49" i="1"/>
  <c r="O48" i="1"/>
  <c r="K48" i="1"/>
  <c r="J48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L47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L46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L45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L44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L43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L42" i="1"/>
  <c r="O41" i="1"/>
  <c r="K41" i="1"/>
  <c r="J41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N40" i="1"/>
  <c r="AZ40" i="1" s="1"/>
  <c r="BA40" i="1" s="1"/>
  <c r="L40" i="1"/>
  <c r="AX39" i="1"/>
  <c r="AY39" i="1" s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N39" i="1"/>
  <c r="AZ39" i="1" s="1"/>
  <c r="BA39" i="1" s="1"/>
  <c r="L39" i="1"/>
  <c r="AX38" i="1"/>
  <c r="AY38" i="1" s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N38" i="1"/>
  <c r="AZ38" i="1" s="1"/>
  <c r="BA38" i="1" s="1"/>
  <c r="L38" i="1"/>
  <c r="AX37" i="1"/>
  <c r="AY37" i="1" s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L37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L36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L35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L34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L33" i="1"/>
  <c r="O32" i="1"/>
  <c r="K32" i="1"/>
  <c r="J32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L31" i="1"/>
  <c r="AX30" i="1"/>
  <c r="AY30" i="1" s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N30" i="1"/>
  <c r="AZ30" i="1" s="1"/>
  <c r="BA30" i="1" s="1"/>
  <c r="L30" i="1"/>
  <c r="AX29" i="1"/>
  <c r="AY29" i="1" s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L29" i="1"/>
  <c r="O28" i="1"/>
  <c r="K28" i="1"/>
  <c r="J28" i="1"/>
  <c r="AX27" i="1"/>
  <c r="AY27" i="1" s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N27" i="1"/>
  <c r="AZ27" i="1" s="1"/>
  <c r="BA27" i="1" s="1"/>
  <c r="L27" i="1"/>
  <c r="AX26" i="1"/>
  <c r="AY26" i="1" s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N26" i="1"/>
  <c r="AZ26" i="1" s="1"/>
  <c r="BA26" i="1" s="1"/>
  <c r="L26" i="1"/>
  <c r="AX25" i="1"/>
  <c r="AY25" i="1" s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N25" i="1"/>
  <c r="AZ25" i="1" s="1"/>
  <c r="BA25" i="1" s="1"/>
  <c r="L25" i="1"/>
  <c r="AX24" i="1"/>
  <c r="AY24" i="1" s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N24" i="1"/>
  <c r="L24" i="1"/>
  <c r="AX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N23" i="1"/>
  <c r="AZ23" i="1" s="1"/>
  <c r="BA23" i="1" s="1"/>
  <c r="L23" i="1"/>
  <c r="AX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N22" i="1"/>
  <c r="L22" i="1"/>
  <c r="O21" i="1"/>
  <c r="K21" i="1"/>
  <c r="J21" i="1"/>
  <c r="C13" i="2" s="1"/>
  <c r="AX20" i="1"/>
  <c r="AY20" i="1" s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N20" i="1"/>
  <c r="AZ20" i="1" s="1"/>
  <c r="BA20" i="1" s="1"/>
  <c r="L20" i="1"/>
  <c r="AX19" i="1"/>
  <c r="AY19" i="1" s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N19" i="1"/>
  <c r="AZ19" i="1" s="1"/>
  <c r="BA19" i="1" s="1"/>
  <c r="L19" i="1"/>
  <c r="AX18" i="1"/>
  <c r="AY18" i="1" s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N18" i="1"/>
  <c r="AZ18" i="1" s="1"/>
  <c r="BA18" i="1" s="1"/>
  <c r="L18" i="1"/>
  <c r="AX17" i="1"/>
  <c r="AY17" i="1" s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N17" i="1"/>
  <c r="L17" i="1"/>
  <c r="O16" i="1"/>
  <c r="N16" i="1"/>
  <c r="K12" i="2" s="1"/>
  <c r="M16" i="1"/>
  <c r="L12" i="2" s="1"/>
  <c r="K16" i="1"/>
  <c r="J16" i="1"/>
  <c r="C12" i="2" s="1"/>
  <c r="AX15" i="1"/>
  <c r="AY15" i="1" s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N15" i="1"/>
  <c r="AZ15" i="1" s="1"/>
  <c r="BA15" i="1" s="1"/>
  <c r="L15" i="1"/>
  <c r="AX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N14" i="1"/>
  <c r="L14" i="1"/>
  <c r="AX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N13" i="1"/>
  <c r="L13" i="1"/>
  <c r="O12" i="1"/>
  <c r="N12" i="1"/>
  <c r="K11" i="2" s="1"/>
  <c r="M12" i="1"/>
  <c r="L11" i="2" s="1"/>
  <c r="K12" i="1"/>
  <c r="J12" i="1"/>
  <c r="C11" i="2" s="1"/>
  <c r="AX11" i="1"/>
  <c r="AY11" i="1" s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N11" i="1"/>
  <c r="AZ11" i="1" s="1"/>
  <c r="BA11" i="1" s="1"/>
  <c r="L11" i="1"/>
  <c r="AX10" i="1"/>
  <c r="AY10" i="1" s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N10" i="1"/>
  <c r="AZ10" i="1" s="1"/>
  <c r="BA10" i="1" s="1"/>
  <c r="L10" i="1"/>
  <c r="AX9" i="1"/>
  <c r="AY9" i="1" s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N9" i="1"/>
  <c r="AZ9" i="1" s="1"/>
  <c r="BA9" i="1" s="1"/>
  <c r="L9" i="1"/>
  <c r="AX8" i="1"/>
  <c r="AY8" i="1" s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N8" i="1"/>
  <c r="L8" i="1"/>
  <c r="AX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N7" i="1"/>
  <c r="L7" i="1"/>
  <c r="O6" i="1"/>
  <c r="K6" i="1"/>
  <c r="J6" i="1"/>
  <c r="C10" i="2" s="1"/>
  <c r="A3" i="1"/>
  <c r="AX31" i="1" l="1"/>
  <c r="AY31" i="1" s="1"/>
  <c r="N54" i="1"/>
  <c r="M53" i="1" s="1"/>
  <c r="L18" i="2" s="1"/>
  <c r="AX40" i="1"/>
  <c r="AY40" i="1" s="1"/>
  <c r="J19" i="2"/>
  <c r="J18" i="2"/>
  <c r="J17" i="2"/>
  <c r="J16" i="2"/>
  <c r="J13" i="2"/>
  <c r="J10" i="2"/>
  <c r="H6" i="2"/>
  <c r="L48" i="1"/>
  <c r="L41" i="1"/>
  <c r="J14" i="2"/>
  <c r="J11" i="2"/>
  <c r="L32" i="1"/>
  <c r="L28" i="1"/>
  <c r="J15" i="2"/>
  <c r="J12" i="2"/>
  <c r="N6" i="1"/>
  <c r="K10" i="2" s="1"/>
  <c r="AX52" i="1"/>
  <c r="AY52" i="1" s="1"/>
  <c r="N52" i="1"/>
  <c r="AX51" i="1"/>
  <c r="AY51" i="1" s="1"/>
  <c r="N47" i="1"/>
  <c r="AZ47" i="1" s="1"/>
  <c r="BA47" i="1" s="1"/>
  <c r="AX46" i="1"/>
  <c r="AY46" i="1" s="1"/>
  <c r="N46" i="1"/>
  <c r="AZ46" i="1" s="1"/>
  <c r="BA46" i="1" s="1"/>
  <c r="AX45" i="1"/>
  <c r="AY45" i="1" s="1"/>
  <c r="N45" i="1"/>
  <c r="AZ45" i="1" s="1"/>
  <c r="BA45" i="1" s="1"/>
  <c r="AX44" i="1"/>
  <c r="AY44" i="1" s="1"/>
  <c r="N44" i="1"/>
  <c r="AX43" i="1"/>
  <c r="AY43" i="1" s="1"/>
  <c r="N43" i="1"/>
  <c r="AX42" i="1"/>
  <c r="AY42" i="1" s="1"/>
  <c r="N42" i="1"/>
  <c r="N37" i="1"/>
  <c r="AZ37" i="1" s="1"/>
  <c r="BA37" i="1" s="1"/>
  <c r="AX36" i="1"/>
  <c r="AY36" i="1" s="1"/>
  <c r="N36" i="1"/>
  <c r="AZ36" i="1" s="1"/>
  <c r="BA36" i="1" s="1"/>
  <c r="AX35" i="1"/>
  <c r="AY35" i="1" s="1"/>
  <c r="N35" i="1"/>
  <c r="AX34" i="1"/>
  <c r="AY34" i="1" s="1"/>
  <c r="N34" i="1"/>
  <c r="AZ34" i="1" s="1"/>
  <c r="BA34" i="1" s="1"/>
  <c r="AX33" i="1"/>
  <c r="N33" i="1"/>
  <c r="AZ22" i="1"/>
  <c r="BA22" i="1" s="1"/>
  <c r="N21" i="1"/>
  <c r="K13" i="2" s="1"/>
  <c r="M21" i="1"/>
  <c r="L13" i="2" s="1"/>
  <c r="AZ8" i="1"/>
  <c r="BA8" i="1" s="1"/>
  <c r="M6" i="1"/>
  <c r="L10" i="2" s="1"/>
  <c r="AY23" i="1"/>
  <c r="AY22" i="1"/>
  <c r="AY14" i="1"/>
  <c r="AY13" i="1"/>
  <c r="AZ55" i="1"/>
  <c r="BA55" i="1" s="1"/>
  <c r="C7" i="3"/>
  <c r="N29" i="1"/>
  <c r="AX47" i="1"/>
  <c r="N49" i="1"/>
  <c r="AX49" i="1"/>
  <c r="AY49" i="1" s="1"/>
  <c r="N50" i="1"/>
  <c r="C6" i="3"/>
  <c r="C5" i="3"/>
  <c r="AX50" i="1"/>
  <c r="AY50" i="1" s="1"/>
  <c r="N51" i="1"/>
  <c r="AZ51" i="1" s="1"/>
  <c r="BA51" i="1" s="1"/>
  <c r="L58" i="1"/>
  <c r="D19" i="2"/>
  <c r="L53" i="1"/>
  <c r="D18" i="2"/>
  <c r="AZ24" i="1"/>
  <c r="BA24" i="1" s="1"/>
  <c r="D13" i="2"/>
  <c r="L21" i="1"/>
  <c r="AZ17" i="1"/>
  <c r="BA17" i="1" s="1"/>
  <c r="D12" i="2"/>
  <c r="L16" i="1"/>
  <c r="AZ14" i="1"/>
  <c r="BA14" i="1" s="1"/>
  <c r="AZ13" i="1"/>
  <c r="BA13" i="1" s="1"/>
  <c r="D11" i="2"/>
  <c r="L12" i="1"/>
  <c r="AY7" i="1"/>
  <c r="AZ7" i="1"/>
  <c r="D10" i="2"/>
  <c r="L6" i="1"/>
  <c r="AY33" i="1" l="1"/>
  <c r="H39" i="2"/>
  <c r="AZ54" i="1"/>
  <c r="BA54" i="1" s="1"/>
  <c r="N53" i="1"/>
  <c r="K18" i="2" s="1"/>
  <c r="AZ52" i="1"/>
  <c r="BA52" i="1" s="1"/>
  <c r="H42" i="2"/>
  <c r="AZ35" i="1"/>
  <c r="BA35" i="1" s="1"/>
  <c r="H43" i="2"/>
  <c r="AZ43" i="1"/>
  <c r="BA43" i="1" s="1"/>
  <c r="H40" i="2"/>
  <c r="M41" i="1"/>
  <c r="L16" i="2" s="1"/>
  <c r="N41" i="1"/>
  <c r="K16" i="2" s="1"/>
  <c r="AZ42" i="1"/>
  <c r="BA42" i="1" s="1"/>
  <c r="M32" i="1"/>
  <c r="L15" i="2" s="1"/>
  <c r="N32" i="1"/>
  <c r="K15" i="2" s="1"/>
  <c r="AZ33" i="1"/>
  <c r="BA33" i="1" s="1"/>
  <c r="AZ44" i="1"/>
  <c r="BA44" i="1" s="1"/>
  <c r="H41" i="2"/>
  <c r="AZ50" i="1"/>
  <c r="BA50" i="1" s="1"/>
  <c r="H38" i="2"/>
  <c r="AY47" i="1"/>
  <c r="C8" i="3"/>
  <c r="M28" i="1"/>
  <c r="L14" i="2" s="1"/>
  <c r="N28" i="1"/>
  <c r="AZ29" i="1"/>
  <c r="AZ49" i="1"/>
  <c r="BA49" i="1" s="1"/>
  <c r="M48" i="1"/>
  <c r="L17" i="2" s="1"/>
  <c r="N48" i="1"/>
  <c r="K17" i="2" s="1"/>
  <c r="C14" i="3"/>
  <c r="D14" i="3"/>
  <c r="E14" i="3"/>
  <c r="F14" i="3"/>
  <c r="G14" i="3" s="1"/>
  <c r="H14" i="3"/>
  <c r="I14" i="3"/>
  <c r="J14" i="3"/>
  <c r="K14" i="3"/>
  <c r="L14" i="3"/>
  <c r="C15" i="3"/>
  <c r="D15" i="3"/>
  <c r="E15" i="3"/>
  <c r="F15" i="3"/>
  <c r="G15" i="3" s="1"/>
  <c r="H15" i="3"/>
  <c r="I15" i="3"/>
  <c r="J15" i="3"/>
  <c r="K15" i="3"/>
  <c r="L15" i="3"/>
  <c r="C16" i="3"/>
  <c r="D16" i="3"/>
  <c r="E16" i="3"/>
  <c r="F16" i="3"/>
  <c r="G16" i="3" s="1"/>
  <c r="H16" i="3"/>
  <c r="I16" i="3"/>
  <c r="J16" i="3"/>
  <c r="K16" i="3"/>
  <c r="L16" i="3"/>
  <c r="C17" i="3"/>
  <c r="D17" i="3"/>
  <c r="E17" i="3"/>
  <c r="F17" i="3"/>
  <c r="G17" i="3" s="1"/>
  <c r="H17" i="3"/>
  <c r="I17" i="3"/>
  <c r="J17" i="3"/>
  <c r="K17" i="3"/>
  <c r="L17" i="3"/>
  <c r="C18" i="3"/>
  <c r="D18" i="3"/>
  <c r="E18" i="3"/>
  <c r="F18" i="3"/>
  <c r="G18" i="3" s="1"/>
  <c r="H18" i="3"/>
  <c r="I18" i="3"/>
  <c r="J18" i="3"/>
  <c r="K18" i="3"/>
  <c r="L18" i="3"/>
  <c r="BA7" i="1"/>
  <c r="L19" i="3" l="1"/>
  <c r="K19" i="3"/>
  <c r="J19" i="3"/>
  <c r="C19" i="3"/>
  <c r="D19" i="3"/>
  <c r="E19" i="3"/>
  <c r="F19" i="3"/>
  <c r="G19" i="3" s="1"/>
  <c r="H19" i="3"/>
  <c r="I19" i="3"/>
  <c r="C20" i="3"/>
  <c r="D20" i="3"/>
  <c r="E20" i="3"/>
  <c r="F20" i="3"/>
  <c r="G20" i="3" s="1"/>
  <c r="H20" i="3"/>
  <c r="I20" i="3"/>
  <c r="J20" i="3"/>
  <c r="K20" i="3"/>
  <c r="L20" i="3"/>
  <c r="C21" i="3"/>
  <c r="D21" i="3"/>
  <c r="E21" i="3"/>
  <c r="F21" i="3"/>
  <c r="G21" i="3" s="1"/>
  <c r="H21" i="3"/>
  <c r="I21" i="3"/>
  <c r="J21" i="3"/>
  <c r="K21" i="3"/>
  <c r="L21" i="3"/>
  <c r="C22" i="3"/>
  <c r="D22" i="3"/>
  <c r="E22" i="3"/>
  <c r="F22" i="3"/>
  <c r="G22" i="3" s="1"/>
  <c r="H22" i="3"/>
  <c r="I22" i="3"/>
  <c r="J22" i="3"/>
  <c r="K22" i="3"/>
  <c r="L22" i="3"/>
  <c r="C23" i="3"/>
  <c r="D23" i="3"/>
  <c r="E23" i="3"/>
  <c r="F23" i="3"/>
  <c r="G23" i="3" s="1"/>
  <c r="H23" i="3"/>
  <c r="I23" i="3"/>
  <c r="J23" i="3"/>
  <c r="K23" i="3"/>
  <c r="L23" i="3"/>
  <c r="C24" i="3"/>
  <c r="D24" i="3"/>
  <c r="E24" i="3"/>
  <c r="F24" i="3"/>
  <c r="G24" i="3" s="1"/>
  <c r="H24" i="3"/>
  <c r="I24" i="3"/>
  <c r="J24" i="3"/>
  <c r="K24" i="3"/>
  <c r="L24" i="3"/>
  <c r="C25" i="3"/>
  <c r="D25" i="3"/>
  <c r="E25" i="3"/>
  <c r="F25" i="3"/>
  <c r="G25" i="3" s="1"/>
  <c r="H25" i="3"/>
  <c r="I25" i="3"/>
  <c r="J25" i="3"/>
  <c r="K25" i="3"/>
  <c r="L25" i="3"/>
  <c r="C26" i="3"/>
  <c r="D26" i="3"/>
  <c r="E26" i="3"/>
  <c r="F26" i="3"/>
  <c r="G26" i="3" s="1"/>
  <c r="H26" i="3"/>
  <c r="I26" i="3"/>
  <c r="J26" i="3"/>
  <c r="K26" i="3"/>
  <c r="L26" i="3"/>
  <c r="C27" i="3"/>
  <c r="D27" i="3"/>
  <c r="E27" i="3"/>
  <c r="F27" i="3"/>
  <c r="G27" i="3" s="1"/>
  <c r="H37" i="3"/>
  <c r="J37" i="3"/>
  <c r="L37" i="3"/>
  <c r="D38" i="3"/>
  <c r="F38" i="3"/>
  <c r="G38" i="3" s="1"/>
  <c r="I38" i="3"/>
  <c r="K38" i="3"/>
  <c r="C39" i="3"/>
  <c r="E39" i="3"/>
  <c r="H39" i="3"/>
  <c r="J39" i="3"/>
  <c r="L39" i="3"/>
  <c r="D40" i="3"/>
  <c r="F40" i="3"/>
  <c r="G40" i="3" s="1"/>
  <c r="I40" i="3"/>
  <c r="K40" i="3"/>
  <c r="C41" i="3"/>
  <c r="E41" i="3"/>
  <c r="H41" i="3"/>
  <c r="L41" i="3"/>
  <c r="D42" i="3"/>
  <c r="F42" i="3"/>
  <c r="G42" i="3" s="1"/>
  <c r="I42" i="3"/>
  <c r="K42" i="3"/>
  <c r="C43" i="3"/>
  <c r="E43" i="3"/>
  <c r="H43" i="3"/>
  <c r="J43" i="3"/>
  <c r="L43" i="3"/>
  <c r="K43" i="3"/>
  <c r="H27" i="3"/>
  <c r="I27" i="3"/>
  <c r="J27" i="3"/>
  <c r="K27" i="3"/>
  <c r="L27" i="3"/>
  <c r="C28" i="3"/>
  <c r="D28" i="3"/>
  <c r="E28" i="3"/>
  <c r="F28" i="3"/>
  <c r="G28" i="3" s="1"/>
  <c r="H28" i="3"/>
  <c r="I28" i="3"/>
  <c r="J28" i="3"/>
  <c r="K28" i="3"/>
  <c r="L28" i="3"/>
  <c r="C29" i="3"/>
  <c r="D29" i="3"/>
  <c r="E29" i="3"/>
  <c r="F29" i="3"/>
  <c r="G29" i="3" s="1"/>
  <c r="H29" i="3"/>
  <c r="I29" i="3"/>
  <c r="J29" i="3"/>
  <c r="K29" i="3"/>
  <c r="L29" i="3"/>
  <c r="C30" i="3"/>
  <c r="D30" i="3"/>
  <c r="E30" i="3"/>
  <c r="F30" i="3"/>
  <c r="G30" i="3" s="1"/>
  <c r="H30" i="3"/>
  <c r="I30" i="3"/>
  <c r="J30" i="3"/>
  <c r="K30" i="3"/>
  <c r="L30" i="3"/>
  <c r="C31" i="3"/>
  <c r="D31" i="3"/>
  <c r="E31" i="3"/>
  <c r="F31" i="3"/>
  <c r="G31" i="3" s="1"/>
  <c r="H31" i="3"/>
  <c r="I31" i="3"/>
  <c r="J31" i="3"/>
  <c r="K31" i="3"/>
  <c r="L31" i="3"/>
  <c r="C32" i="3"/>
  <c r="D32" i="3"/>
  <c r="E32" i="3"/>
  <c r="F32" i="3"/>
  <c r="G32" i="3" s="1"/>
  <c r="H32" i="3"/>
  <c r="I32" i="3"/>
  <c r="J32" i="3"/>
  <c r="K32" i="3"/>
  <c r="L32" i="3"/>
  <c r="C33" i="3"/>
  <c r="D33" i="3"/>
  <c r="E33" i="3"/>
  <c r="F33" i="3"/>
  <c r="G33" i="3" s="1"/>
  <c r="H33" i="3"/>
  <c r="I33" i="3"/>
  <c r="J33" i="3"/>
  <c r="K33" i="3"/>
  <c r="L33" i="3"/>
  <c r="C34" i="3"/>
  <c r="D34" i="3"/>
  <c r="E34" i="3"/>
  <c r="F34" i="3"/>
  <c r="G34" i="3" s="1"/>
  <c r="H34" i="3"/>
  <c r="I34" i="3"/>
  <c r="J34" i="3"/>
  <c r="K34" i="3"/>
  <c r="L34" i="3"/>
  <c r="C35" i="3"/>
  <c r="D35" i="3"/>
  <c r="E35" i="3"/>
  <c r="F35" i="3"/>
  <c r="G35" i="3" s="1"/>
  <c r="H35" i="3"/>
  <c r="I35" i="3"/>
  <c r="J35" i="3"/>
  <c r="K35" i="3"/>
  <c r="L35" i="3"/>
  <c r="C36" i="3"/>
  <c r="D36" i="3"/>
  <c r="E36" i="3"/>
  <c r="F36" i="3"/>
  <c r="G36" i="3" s="1"/>
  <c r="H36" i="3"/>
  <c r="I36" i="3"/>
  <c r="J36" i="3"/>
  <c r="K36" i="3"/>
  <c r="L36" i="3"/>
  <c r="C37" i="3"/>
  <c r="D37" i="3"/>
  <c r="E37" i="3"/>
  <c r="F37" i="3"/>
  <c r="G37" i="3" s="1"/>
  <c r="I37" i="3"/>
  <c r="K37" i="3"/>
  <c r="C38" i="3"/>
  <c r="E38" i="3"/>
  <c r="H38" i="3"/>
  <c r="J38" i="3"/>
  <c r="L38" i="3"/>
  <c r="D39" i="3"/>
  <c r="F39" i="3"/>
  <c r="G39" i="3" s="1"/>
  <c r="I39" i="3"/>
  <c r="K39" i="3"/>
  <c r="C40" i="3"/>
  <c r="E40" i="3"/>
  <c r="H40" i="3"/>
  <c r="J40" i="3"/>
  <c r="L40" i="3"/>
  <c r="D41" i="3"/>
  <c r="F41" i="3"/>
  <c r="G41" i="3" s="1"/>
  <c r="I41" i="3"/>
  <c r="J41" i="3"/>
  <c r="K41" i="3"/>
  <c r="C42" i="3"/>
  <c r="E42" i="3"/>
  <c r="H42" i="3"/>
  <c r="J42" i="3"/>
  <c r="L42" i="3"/>
  <c r="D43" i="3"/>
  <c r="F43" i="3"/>
  <c r="G43" i="3" s="1"/>
  <c r="I43" i="3"/>
  <c r="BA29" i="1"/>
  <c r="C9" i="3"/>
  <c r="G6" i="2"/>
  <c r="K14" i="2"/>
  <c r="C47" i="3"/>
  <c r="D47" i="3"/>
  <c r="E47" i="3"/>
  <c r="F47" i="3"/>
  <c r="G47" i="3" s="1"/>
  <c r="H47" i="3"/>
  <c r="I47" i="3"/>
  <c r="J47" i="3"/>
  <c r="K47" i="3"/>
  <c r="L47" i="3"/>
  <c r="C48" i="3"/>
  <c r="D48" i="3"/>
  <c r="E48" i="3"/>
  <c r="F48" i="3"/>
  <c r="G48" i="3" s="1"/>
  <c r="H48" i="3"/>
  <c r="I48" i="3"/>
  <c r="J48" i="3"/>
  <c r="K48" i="3"/>
  <c r="L48" i="3"/>
  <c r="C49" i="3"/>
  <c r="D49" i="3"/>
  <c r="E49" i="3"/>
  <c r="F49" i="3"/>
  <c r="G49" i="3" s="1"/>
  <c r="H49" i="3"/>
  <c r="I49" i="3"/>
  <c r="J49" i="3"/>
  <c r="K49" i="3"/>
  <c r="L49" i="3"/>
  <c r="C50" i="3"/>
  <c r="D50" i="3"/>
  <c r="E50" i="3"/>
  <c r="F50" i="3"/>
  <c r="G50" i="3" s="1"/>
  <c r="H50" i="3"/>
  <c r="I50" i="3"/>
  <c r="I65" i="3"/>
  <c r="J65" i="3"/>
  <c r="J50" i="3" l="1"/>
  <c r="K50" i="3"/>
  <c r="L50" i="3"/>
  <c r="C51" i="3"/>
  <c r="D51" i="3"/>
  <c r="E51" i="3"/>
  <c r="F51" i="3"/>
  <c r="G51" i="3" s="1"/>
  <c r="H51" i="3"/>
  <c r="I51" i="3"/>
  <c r="J51" i="3"/>
  <c r="K51" i="3"/>
  <c r="L51" i="3"/>
  <c r="C52" i="3"/>
  <c r="D52" i="3"/>
  <c r="E52" i="3"/>
  <c r="F52" i="3"/>
  <c r="G52" i="3" s="1"/>
  <c r="H52" i="3"/>
  <c r="I52" i="3"/>
  <c r="J52" i="3"/>
  <c r="K52" i="3"/>
  <c r="L52" i="3"/>
  <c r="C53" i="3"/>
  <c r="D53" i="3"/>
  <c r="E53" i="3"/>
  <c r="F53" i="3"/>
  <c r="G53" i="3" s="1"/>
  <c r="H53" i="3"/>
  <c r="I53" i="3"/>
  <c r="J53" i="3"/>
  <c r="K53" i="3"/>
  <c r="L53" i="3"/>
  <c r="C54" i="3"/>
  <c r="D54" i="3"/>
  <c r="E54" i="3"/>
  <c r="F54" i="3"/>
  <c r="G54" i="3" s="1"/>
  <c r="H54" i="3"/>
  <c r="I54" i="3"/>
  <c r="D60" i="3"/>
  <c r="E60" i="3"/>
  <c r="F60" i="3"/>
  <c r="G60" i="3" s="1"/>
  <c r="H60" i="3"/>
  <c r="I60" i="3"/>
  <c r="J60" i="3"/>
  <c r="K60" i="3"/>
  <c r="L60" i="3"/>
  <c r="C61" i="3"/>
  <c r="D61" i="3"/>
  <c r="E61" i="3"/>
  <c r="F61" i="3"/>
  <c r="G61" i="3" s="1"/>
  <c r="H61" i="3"/>
  <c r="I61" i="3"/>
  <c r="J61" i="3"/>
  <c r="K61" i="3"/>
  <c r="L61" i="3"/>
  <c r="C62" i="3"/>
  <c r="D62" i="3"/>
  <c r="E62" i="3"/>
  <c r="F62" i="3"/>
  <c r="G62" i="3" s="1"/>
  <c r="H62" i="3"/>
  <c r="I62" i="3"/>
  <c r="J62" i="3"/>
  <c r="K62" i="3"/>
  <c r="L62" i="3"/>
  <c r="C63" i="3"/>
  <c r="D63" i="3"/>
  <c r="E63" i="3"/>
  <c r="F63" i="3"/>
  <c r="G63" i="3" s="1"/>
  <c r="H63" i="3"/>
  <c r="I63" i="3"/>
  <c r="J63" i="3"/>
  <c r="K63" i="3"/>
  <c r="L63" i="3"/>
  <c r="C64" i="3"/>
  <c r="D64" i="3"/>
  <c r="E64" i="3"/>
  <c r="F64" i="3"/>
  <c r="G64" i="3" s="1"/>
  <c r="H64" i="3"/>
  <c r="I64" i="3"/>
  <c r="J64" i="3"/>
  <c r="K64" i="3"/>
  <c r="L64" i="3"/>
  <c r="C65" i="3"/>
  <c r="D65" i="3"/>
  <c r="E65" i="3"/>
  <c r="F65" i="3"/>
  <c r="G65" i="3" s="1"/>
  <c r="H65" i="3"/>
  <c r="J54" i="3"/>
  <c r="K54" i="3"/>
  <c r="L54" i="3"/>
  <c r="C55" i="3"/>
  <c r="D55" i="3"/>
  <c r="E55" i="3"/>
  <c r="F55" i="3"/>
  <c r="G55" i="3" s="1"/>
  <c r="H55" i="3"/>
  <c r="I55" i="3"/>
  <c r="J55" i="3"/>
  <c r="K55" i="3"/>
  <c r="L55" i="3"/>
  <c r="C56" i="3"/>
  <c r="D56" i="3"/>
  <c r="E56" i="3"/>
  <c r="F56" i="3"/>
  <c r="G56" i="3" s="1"/>
  <c r="H56" i="3"/>
  <c r="I56" i="3"/>
  <c r="J56" i="3"/>
  <c r="K56" i="3"/>
  <c r="L56" i="3"/>
  <c r="C57" i="3"/>
  <c r="D57" i="3"/>
  <c r="E57" i="3"/>
  <c r="F57" i="3"/>
  <c r="G57" i="3" s="1"/>
  <c r="H57" i="3"/>
  <c r="I57" i="3"/>
  <c r="J57" i="3"/>
  <c r="K57" i="3"/>
  <c r="L57" i="3"/>
  <c r="C58" i="3"/>
  <c r="D58" i="3"/>
  <c r="E58" i="3"/>
  <c r="F58" i="3"/>
  <c r="G58" i="3" s="1"/>
  <c r="H58" i="3"/>
  <c r="I58" i="3"/>
  <c r="J58" i="3"/>
  <c r="K58" i="3"/>
  <c r="L58" i="3"/>
  <c r="C59" i="3"/>
  <c r="D59" i="3"/>
  <c r="E59" i="3"/>
  <c r="F59" i="3"/>
  <c r="G59" i="3" s="1"/>
  <c r="H59" i="3"/>
  <c r="I59" i="3"/>
  <c r="J59" i="3"/>
  <c r="K59" i="3"/>
  <c r="L59" i="3"/>
  <c r="C60" i="3"/>
  <c r="K65" i="3"/>
  <c r="L65" i="3"/>
  <c r="C66" i="3"/>
  <c r="D66" i="3"/>
  <c r="E66" i="3"/>
  <c r="F66" i="3"/>
  <c r="G66" i="3" s="1"/>
  <c r="H66" i="3"/>
  <c r="I66" i="3"/>
  <c r="J66" i="3"/>
  <c r="K66" i="3"/>
  <c r="L66" i="3"/>
  <c r="C67" i="3"/>
  <c r="D67" i="3"/>
  <c r="E67" i="3"/>
  <c r="F67" i="3"/>
  <c r="G67" i="3" s="1"/>
  <c r="H67" i="3"/>
  <c r="I67" i="3"/>
  <c r="J67" i="3"/>
  <c r="K67" i="3"/>
  <c r="L67" i="3"/>
  <c r="C68" i="3"/>
  <c r="D68" i="3"/>
  <c r="E68" i="3"/>
  <c r="F68" i="3"/>
  <c r="G68" i="3" s="1"/>
  <c r="H68" i="3"/>
  <c r="I68" i="3"/>
  <c r="J68" i="3"/>
  <c r="K68" i="3"/>
  <c r="L68" i="3"/>
  <c r="C69" i="3"/>
  <c r="D69" i="3"/>
  <c r="E69" i="3"/>
  <c r="F69" i="3"/>
  <c r="G69" i="3" s="1"/>
  <c r="H69" i="3"/>
  <c r="I69" i="3"/>
  <c r="J69" i="3"/>
  <c r="K69" i="3"/>
  <c r="L69" i="3"/>
  <c r="C70" i="3"/>
  <c r="D70" i="3"/>
  <c r="E70" i="3"/>
  <c r="F70" i="3"/>
  <c r="G70" i="3" s="1"/>
  <c r="H70" i="3"/>
  <c r="I70" i="3"/>
  <c r="J70" i="3"/>
  <c r="K70" i="3"/>
  <c r="L70" i="3"/>
  <c r="C71" i="3"/>
  <c r="D71" i="3"/>
  <c r="E71" i="3"/>
  <c r="F71" i="3"/>
  <c r="G71" i="3" s="1"/>
  <c r="H71" i="3"/>
  <c r="I71" i="3"/>
  <c r="J71" i="3"/>
  <c r="K71" i="3"/>
  <c r="L71" i="3"/>
  <c r="C72" i="3"/>
  <c r="D72" i="3"/>
  <c r="E72" i="3"/>
  <c r="F72" i="3"/>
  <c r="G72" i="3" s="1"/>
  <c r="H72" i="3"/>
  <c r="I72" i="3"/>
  <c r="J72" i="3"/>
  <c r="K72" i="3"/>
  <c r="L72" i="3"/>
  <c r="C73" i="3"/>
  <c r="D73" i="3"/>
  <c r="E73" i="3"/>
  <c r="F73" i="3"/>
  <c r="G73" i="3" s="1"/>
  <c r="H73" i="3"/>
  <c r="I73" i="3"/>
  <c r="J73" i="3"/>
  <c r="K73" i="3"/>
  <c r="L73" i="3"/>
  <c r="C74" i="3"/>
  <c r="D74" i="3"/>
  <c r="E74" i="3"/>
  <c r="F74" i="3"/>
  <c r="G74" i="3" s="1"/>
  <c r="H74" i="3"/>
  <c r="I74" i="3"/>
  <c r="J74" i="3"/>
  <c r="K74" i="3"/>
  <c r="L74" i="3"/>
  <c r="C75" i="3"/>
  <c r="D75" i="3"/>
  <c r="E75" i="3"/>
  <c r="F75" i="3"/>
  <c r="G75" i="3" s="1"/>
  <c r="H75" i="3"/>
  <c r="I75" i="3"/>
  <c r="J75" i="3"/>
  <c r="K75" i="3"/>
  <c r="L75" i="3"/>
  <c r="C76" i="3"/>
  <c r="D76" i="3"/>
  <c r="E76" i="3"/>
  <c r="F76" i="3"/>
  <c r="G76" i="3" s="1"/>
  <c r="H76" i="3"/>
  <c r="I76" i="3"/>
  <c r="J76" i="3"/>
  <c r="K76" i="3"/>
  <c r="L76" i="3"/>
  <c r="C77" i="3"/>
  <c r="D77" i="3"/>
  <c r="E77" i="3"/>
  <c r="F77" i="3"/>
  <c r="G77" i="3" s="1"/>
  <c r="H77" i="3"/>
  <c r="I77" i="3"/>
  <c r="J77" i="3"/>
  <c r="K77" i="3"/>
  <c r="L77" i="3"/>
  <c r="C78" i="3"/>
  <c r="D78" i="3"/>
  <c r="E78" i="3"/>
  <c r="F78" i="3"/>
  <c r="G78" i="3" s="1"/>
  <c r="H78" i="3"/>
  <c r="I78" i="3"/>
  <c r="J78" i="3"/>
  <c r="K78" i="3"/>
  <c r="L78" i="3"/>
  <c r="C79" i="3"/>
  <c r="D79" i="3"/>
  <c r="E79" i="3"/>
  <c r="F79" i="3"/>
  <c r="G79" i="3" s="1"/>
  <c r="H79" i="3"/>
  <c r="I79" i="3"/>
  <c r="J79" i="3"/>
  <c r="K79" i="3"/>
  <c r="L79" i="3"/>
  <c r="C80" i="3"/>
  <c r="D80" i="3"/>
  <c r="E80" i="3"/>
  <c r="F80" i="3"/>
  <c r="G80" i="3" s="1"/>
  <c r="H80" i="3"/>
  <c r="I80" i="3"/>
  <c r="J80" i="3"/>
  <c r="K80" i="3"/>
  <c r="L80" i="3"/>
  <c r="C81" i="3"/>
  <c r="D81" i="3"/>
  <c r="E81" i="3"/>
  <c r="F81" i="3"/>
  <c r="G81" i="3" s="1"/>
  <c r="H81" i="3"/>
  <c r="I81" i="3"/>
  <c r="J81" i="3"/>
  <c r="K81" i="3"/>
  <c r="L81" i="3"/>
  <c r="C82" i="3"/>
  <c r="D82" i="3"/>
  <c r="E82" i="3"/>
  <c r="F82" i="3"/>
  <c r="G82" i="3" s="1"/>
  <c r="H82" i="3"/>
  <c r="I82" i="3"/>
  <c r="J82" i="3"/>
  <c r="K82" i="3"/>
  <c r="L82" i="3"/>
  <c r="C83" i="3"/>
  <c r="D83" i="3"/>
  <c r="E83" i="3"/>
  <c r="F83" i="3"/>
  <c r="G83" i="3" s="1"/>
  <c r="H83" i="3"/>
  <c r="I83" i="3"/>
  <c r="J83" i="3"/>
  <c r="K83" i="3"/>
  <c r="L83" i="3"/>
  <c r="C84" i="3"/>
  <c r="D84" i="3"/>
  <c r="E84" i="3"/>
  <c r="F84" i="3"/>
  <c r="G84" i="3" s="1"/>
  <c r="H84" i="3"/>
  <c r="I84" i="3"/>
  <c r="J84" i="3"/>
  <c r="K84" i="3"/>
  <c r="L84" i="3"/>
  <c r="C85" i="3"/>
  <c r="D85" i="3"/>
  <c r="E85" i="3"/>
  <c r="F85" i="3"/>
  <c r="G85" i="3" s="1"/>
  <c r="H85" i="3"/>
  <c r="I85" i="3"/>
  <c r="J85" i="3"/>
  <c r="K85" i="3"/>
  <c r="L85" i="3"/>
  <c r="C86" i="3"/>
  <c r="D86" i="3"/>
  <c r="E86" i="3"/>
  <c r="F86" i="3"/>
  <c r="G86" i="3" s="1"/>
  <c r="H86" i="3"/>
  <c r="I86" i="3"/>
  <c r="J86" i="3"/>
  <c r="K86" i="3"/>
  <c r="L86" i="3"/>
  <c r="C87" i="3"/>
  <c r="D87" i="3"/>
  <c r="E87" i="3"/>
  <c r="F87" i="3"/>
  <c r="G87" i="3" s="1"/>
  <c r="H87" i="3"/>
  <c r="I87" i="3"/>
  <c r="J87" i="3"/>
  <c r="K87" i="3"/>
  <c r="L87" i="3"/>
  <c r="C88" i="3"/>
  <c r="D88" i="3"/>
  <c r="E88" i="3"/>
  <c r="F88" i="3"/>
  <c r="G88" i="3" s="1"/>
  <c r="H88" i="3"/>
  <c r="I88" i="3"/>
  <c r="J88" i="3"/>
  <c r="K88" i="3"/>
  <c r="L88" i="3"/>
  <c r="C89" i="3"/>
  <c r="D89" i="3"/>
  <c r="E89" i="3"/>
  <c r="F89" i="3"/>
  <c r="G89" i="3" s="1"/>
  <c r="H89" i="3"/>
  <c r="I89" i="3"/>
  <c r="J89" i="3"/>
  <c r="K89" i="3"/>
  <c r="L89" i="3"/>
  <c r="C90" i="3"/>
  <c r="D90" i="3"/>
  <c r="E90" i="3"/>
  <c r="F90" i="3"/>
  <c r="G90" i="3" s="1"/>
  <c r="H90" i="3"/>
  <c r="I90" i="3"/>
  <c r="J90" i="3"/>
  <c r="K90" i="3"/>
  <c r="L90" i="3"/>
  <c r="C91" i="3"/>
  <c r="D91" i="3"/>
  <c r="E91" i="3"/>
  <c r="F91" i="3"/>
  <c r="G91" i="3" s="1"/>
  <c r="H91" i="3"/>
  <c r="I91" i="3"/>
  <c r="J91" i="3"/>
  <c r="K91" i="3"/>
  <c r="L91" i="3"/>
  <c r="C92" i="3"/>
  <c r="D92" i="3"/>
  <c r="E92" i="3"/>
  <c r="F92" i="3"/>
  <c r="G92" i="3" s="1"/>
  <c r="H92" i="3"/>
  <c r="I92" i="3"/>
  <c r="J92" i="3"/>
  <c r="K92" i="3"/>
  <c r="L92" i="3"/>
  <c r="C93" i="3"/>
  <c r="D93" i="3"/>
  <c r="E93" i="3"/>
  <c r="F93" i="3"/>
  <c r="G93" i="3" s="1"/>
  <c r="H93" i="3"/>
  <c r="I93" i="3"/>
  <c r="J93" i="3"/>
  <c r="K93" i="3"/>
  <c r="L93" i="3"/>
  <c r="C94" i="3"/>
  <c r="D94" i="3"/>
  <c r="E94" i="3"/>
  <c r="F94" i="3"/>
  <c r="G94" i="3" s="1"/>
  <c r="H94" i="3"/>
  <c r="I94" i="3"/>
  <c r="J94" i="3"/>
  <c r="K94" i="3"/>
  <c r="L94" i="3"/>
  <c r="C95" i="3"/>
  <c r="D95" i="3"/>
  <c r="E95" i="3"/>
  <c r="F95" i="3"/>
  <c r="G95" i="3" s="1"/>
  <c r="H95" i="3"/>
  <c r="I95" i="3"/>
  <c r="J95" i="3"/>
  <c r="K95" i="3"/>
  <c r="L95" i="3"/>
  <c r="C96" i="3"/>
  <c r="D96" i="3"/>
  <c r="E96" i="3"/>
  <c r="F96" i="3"/>
  <c r="G96" i="3" s="1"/>
  <c r="H96" i="3"/>
  <c r="I96" i="3"/>
  <c r="J96" i="3"/>
  <c r="K96" i="3"/>
  <c r="L96" i="3"/>
  <c r="C97" i="3"/>
  <c r="D97" i="3"/>
  <c r="E97" i="3"/>
  <c r="F97" i="3"/>
  <c r="G97" i="3" s="1"/>
  <c r="H97" i="3"/>
  <c r="I97" i="3"/>
  <c r="J97" i="3"/>
  <c r="K97" i="3"/>
  <c r="L97" i="3"/>
  <c r="C98" i="3"/>
  <c r="D98" i="3"/>
  <c r="E98" i="3"/>
  <c r="F98" i="3"/>
  <c r="G98" i="3" s="1"/>
  <c r="H98" i="3"/>
  <c r="I98" i="3"/>
  <c r="J98" i="3"/>
  <c r="K98" i="3"/>
  <c r="L98" i="3"/>
  <c r="C99" i="3"/>
  <c r="D99" i="3"/>
  <c r="E99" i="3"/>
  <c r="F99" i="3"/>
  <c r="G99" i="3" s="1"/>
  <c r="H99" i="3"/>
  <c r="I99" i="3"/>
  <c r="J99" i="3"/>
  <c r="K99" i="3"/>
  <c r="L99" i="3"/>
  <c r="C100" i="3"/>
  <c r="D100" i="3"/>
  <c r="E100" i="3"/>
  <c r="F100" i="3"/>
  <c r="G100" i="3" s="1"/>
  <c r="H100" i="3"/>
  <c r="I100" i="3"/>
  <c r="J100" i="3"/>
  <c r="K100" i="3"/>
  <c r="L100" i="3"/>
  <c r="C101" i="3"/>
  <c r="D101" i="3"/>
  <c r="E101" i="3"/>
  <c r="F101" i="3"/>
  <c r="G101" i="3" s="1"/>
  <c r="H101" i="3"/>
  <c r="I101" i="3"/>
  <c r="J101" i="3"/>
  <c r="K101" i="3"/>
  <c r="L101" i="3"/>
  <c r="C102" i="3"/>
  <c r="D102" i="3"/>
  <c r="E102" i="3"/>
  <c r="F102" i="3"/>
  <c r="G102" i="3" s="1"/>
  <c r="H102" i="3"/>
  <c r="I102" i="3"/>
  <c r="J102" i="3"/>
  <c r="K102" i="3"/>
  <c r="L102" i="3"/>
  <c r="C103" i="3"/>
  <c r="D103" i="3"/>
  <c r="E103" i="3"/>
  <c r="F103" i="3"/>
  <c r="G103" i="3" s="1"/>
  <c r="H103" i="3"/>
  <c r="I103" i="3"/>
  <c r="J103" i="3"/>
  <c r="K103" i="3"/>
  <c r="L103" i="3"/>
  <c r="C104" i="3"/>
  <c r="D104" i="3"/>
  <c r="E104" i="3"/>
  <c r="F104" i="3"/>
  <c r="G104" i="3" s="1"/>
  <c r="H104" i="3"/>
  <c r="I104" i="3"/>
  <c r="J104" i="3"/>
  <c r="K104" i="3"/>
  <c r="L104" i="3"/>
  <c r="C105" i="3"/>
  <c r="D105" i="3"/>
  <c r="E105" i="3"/>
  <c r="F105" i="3"/>
  <c r="G105" i="3" s="1"/>
  <c r="H105" i="3"/>
  <c r="I105" i="3"/>
  <c r="J105" i="3"/>
  <c r="K105" i="3"/>
  <c r="L105" i="3"/>
  <c r="C106" i="3"/>
  <c r="D106" i="3"/>
  <c r="E106" i="3"/>
  <c r="F106" i="3"/>
  <c r="G106" i="3" s="1"/>
  <c r="H106" i="3"/>
  <c r="I106" i="3"/>
  <c r="J106" i="3"/>
  <c r="K106" i="3"/>
  <c r="L106" i="3"/>
  <c r="C107" i="3"/>
  <c r="D107" i="3"/>
  <c r="E107" i="3"/>
  <c r="F107" i="3"/>
  <c r="G107" i="3" s="1"/>
  <c r="H107" i="3"/>
  <c r="I107" i="3"/>
  <c r="J107" i="3"/>
  <c r="K107" i="3"/>
  <c r="L107" i="3"/>
  <c r="C108" i="3"/>
  <c r="D108" i="3"/>
  <c r="E108" i="3"/>
  <c r="F108" i="3"/>
  <c r="G108" i="3" s="1"/>
  <c r="H108" i="3"/>
  <c r="I108" i="3"/>
  <c r="J108" i="3"/>
  <c r="K108" i="3"/>
  <c r="L10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200-000001000000}">
      <text>
        <r>
          <rPr>
            <sz val="10"/>
            <rFont val="Arial"/>
            <family val="2"/>
          </rPr>
          <t>Reemplace por una fecha (ej. 09-11-2026) para ver otro día. Para volver al día actual escriba =HOY()</t>
        </r>
      </text>
    </comment>
  </commentList>
</comments>
</file>

<file path=xl/sharedStrings.xml><?xml version="1.0" encoding="utf-8"?>
<sst xmlns="http://schemas.openxmlformats.org/spreadsheetml/2006/main" count="762" uniqueCount="349">
  <si>
    <t>Gantt de cutover — Portland Colombia (Go-Live 09-11-2026)</t>
  </si>
  <si>
    <t>Base: plan de cutover acordado (Cutover_Colombia_GoLive_09Nov.pptx) y buenas prácticas SAP Activate. Edite solo las columnas Estado y Comentarios (amarillas).</t>
  </si>
  <si>
    <t>Octubre</t>
  </si>
  <si>
    <t>Noviembre</t>
  </si>
  <si>
    <t>M</t>
  </si>
  <si>
    <t>J</t>
  </si>
  <si>
    <t>V</t>
  </si>
  <si>
    <t>S</t>
  </si>
  <si>
    <t>D</t>
  </si>
  <si>
    <t>L</t>
  </si>
  <si>
    <t>ID</t>
  </si>
  <si>
    <t>Fase</t>
  </si>
  <si>
    <t>Actividad / hito</t>
  </si>
  <si>
    <t>Tipo</t>
  </si>
  <si>
    <t>Detalle / entregable</t>
  </si>
  <si>
    <t>Frente</t>
  </si>
  <si>
    <t>Responsable</t>
  </si>
  <si>
    <t>Participantes</t>
  </si>
  <si>
    <t>Modalidad</t>
  </si>
  <si>
    <t>Inicio</t>
  </si>
  <si>
    <t>Fin</t>
  </si>
  <si>
    <t>Días</t>
  </si>
  <si>
    <t>Estado</t>
  </si>
  <si>
    <t>Alerta</t>
  </si>
  <si>
    <t>Comentarios</t>
  </si>
  <si>
    <t>es_act</t>
  </si>
  <si>
    <t>hoy</t>
  </si>
  <si>
    <t>n_hoy</t>
  </si>
  <si>
    <t>venc</t>
  </si>
  <si>
    <t>n_venc</t>
  </si>
  <si>
    <t>0</t>
  </si>
  <si>
    <t>0. Equipo de proyecto en Colombia</t>
  </si>
  <si>
    <t>Equipo de proyecto en Colombia</t>
  </si>
  <si>
    <t>C01</t>
  </si>
  <si>
    <t>Equipo de proyecto en Bogotá</t>
  </si>
  <si>
    <t>Actividad</t>
  </si>
  <si>
    <t>Germán Faundes, Daniela Correa, Oscar Sella y Gabriel Salinas: preparación, carga, Go-Live y primera semana de Hypercare.</t>
  </si>
  <si>
    <t>PMO</t>
  </si>
  <si>
    <t>Gerente de Proyecto</t>
  </si>
  <si>
    <t>Gerente de Contabilidad Regional; TI Portland FICO; PMO Portland</t>
  </si>
  <si>
    <t>Presencial</t>
  </si>
  <si>
    <t>No iniciado</t>
  </si>
  <si>
    <t>C02</t>
  </si>
  <si>
    <t>Visita del Gerente General</t>
  </si>
  <si>
    <t>Daniel Yung: acompañamiento de Go / No-Go y Go-Live.</t>
  </si>
  <si>
    <t>Gerente General</t>
  </si>
  <si>
    <t>C03</t>
  </si>
  <si>
    <t>Apoyo externo para migración – 1ª visita</t>
  </si>
  <si>
    <t>Sebastián Salom: preparación y ejecución de la carga de datos maestros y saldos iniciales.</t>
  </si>
  <si>
    <t>Externo – Migración</t>
  </si>
  <si>
    <t>Gerente de Contabilidad Regional</t>
  </si>
  <si>
    <t>C04</t>
  </si>
  <si>
    <t>Apoyo externo para migración – 2ª visita</t>
  </si>
  <si>
    <t>Sebastián Salom: apoyo a la regularización y cuadraturas post Go-Live.</t>
  </si>
  <si>
    <t>C05</t>
  </si>
  <si>
    <t>Soporte adicional post Go-Live</t>
  </si>
  <si>
    <t>Alonso Cuba (Portland TI Perú): soporte en sitio durante la segunda semana de Hypercare.</t>
  </si>
  <si>
    <t>TI Portland Perú</t>
  </si>
  <si>
    <t>1</t>
  </si>
  <si>
    <t>1. Pruebas y Validación Modelos de Negocios</t>
  </si>
  <si>
    <t>Pruebas y Validación Modelos de Negocios</t>
  </si>
  <si>
    <t>C06</t>
  </si>
  <si>
    <t>Pruebas y ajustes a Modelos de Negocio</t>
  </si>
  <si>
    <t>Pruebas y ajustes de escenarios.</t>
  </si>
  <si>
    <t>Negocio</t>
  </si>
  <si>
    <t>Jefe de Implementación</t>
  </si>
  <si>
    <t>Implementador – Consultor FI/CO; Implementador – Consultor MM/SD; TI Portland FICO; TI Portland MM; Contabilidad Colombia; Comercial / Facturación Colombia; Logística / Bodega Colombia</t>
  </si>
  <si>
    <t>Remoto</t>
  </si>
  <si>
    <t>En curso</t>
  </si>
  <si>
    <t>C07</t>
  </si>
  <si>
    <t>Pruebas y Ajustes a FFEE</t>
  </si>
  <si>
    <t>Los 4 escenarios de Documentos Electrónicos aprobador por DIAN y el Negocio. (Distribución, Exportacion, Nota Credito, Nota Débito)</t>
  </si>
  <si>
    <t>Localización-FFEE</t>
  </si>
  <si>
    <t>TI Portland SD y FFEE; Implementador – FFEE/Formularios</t>
  </si>
  <si>
    <t>Técnico</t>
  </si>
  <si>
    <t>TI Portland FICO</t>
  </si>
  <si>
    <t>C09</t>
  </si>
  <si>
    <t>Validación de Modelos de Negocio y Facturación Electrónica</t>
  </si>
  <si>
    <t>Hito</t>
  </si>
  <si>
    <t>Modelos de negocio y documentos electrónicos (distribución, exportación, NC, ND) validados por el negocio y la DIAN.</t>
  </si>
  <si>
    <t>Comercial / Facturación Colombia; Contabilidad Colombia; Logística / Bodega Colombia; TI Portland SD y FFEE</t>
  </si>
  <si>
    <t>2</t>
  </si>
  <si>
    <t>2. Datos maestros y Localización</t>
  </si>
  <si>
    <t>Datos maestros y Localización</t>
  </si>
  <si>
    <t>C10</t>
  </si>
  <si>
    <t>Plan de cuentas e impuestos validados en producción</t>
  </si>
  <si>
    <t>Cuentas, IVA, retenciones e ICA; se valida después del transporte 2.</t>
  </si>
  <si>
    <t>Financiero</t>
  </si>
  <si>
    <t>Contabilidad Colombia; TI Portland FICO; Implementador – Consultor FI/CO</t>
  </si>
  <si>
    <t>C11</t>
  </si>
  <si>
    <t>Cierre de planillas de datos maestros del negocio</t>
  </si>
  <si>
    <t>Planillas de clientes, proveedores y materiales entregadas a TI.</t>
  </si>
  <si>
    <t>Contabilidad Colombia; Comercial / Facturación Colombia; Logística / Bodega Colombia</t>
  </si>
  <si>
    <t>C12</t>
  </si>
  <si>
    <t>Consolidación y formato de planillas por TI</t>
  </si>
  <si>
    <t>TI consolida y formatea las planillas en las plantillas de carga y las entrega a la Gerente de Contabilidad Regional.</t>
  </si>
  <si>
    <t>TI Portland MM</t>
  </si>
  <si>
    <t>TI Portland SD y FFEE; TI Portland FICO</t>
  </si>
  <si>
    <t>C13</t>
  </si>
  <si>
    <t>Planillas de carga aprobadas</t>
  </si>
  <si>
    <t>Revisión y aprobación de la Gerente de Contabilidad Regional.</t>
  </si>
  <si>
    <t>TI Portland FICO; TI Portland MM; TI Portland SD y FFEE</t>
  </si>
  <si>
    <t>3</t>
  </si>
  <si>
    <t>3. Cierre del sistema actual</t>
  </si>
  <si>
    <t>Cierre del sistema actual</t>
  </si>
  <si>
    <t>C14</t>
  </si>
  <si>
    <t>Registro de últimas operaciones en sistema actual</t>
  </si>
  <si>
    <t>Todas las transacciones de octubre ingresadas antes del corte.</t>
  </si>
  <si>
    <t>Contabilidad Colombia</t>
  </si>
  <si>
    <t>Comercial / Facturación Colombia; Logística / Bodega Colombia; Tesorería Colombia</t>
  </si>
  <si>
    <t>C15</t>
  </si>
  <si>
    <t>Cierre de registros del sistema actual</t>
  </si>
  <si>
    <t>El sistema actual queda solo para consulta.</t>
  </si>
  <si>
    <t>Gerencia Colombia; PMO Portland</t>
  </si>
  <si>
    <t>C16</t>
  </si>
  <si>
    <t>Toma de inventario físico</t>
  </si>
  <si>
    <t>Conteo y reconteo de diferencias.</t>
  </si>
  <si>
    <t>Logístico</t>
  </si>
  <si>
    <t>Logística / Bodega Colombia</t>
  </si>
  <si>
    <t>Contabilidad Colombia; TI Portland MM</t>
  </si>
  <si>
    <t>C17</t>
  </si>
  <si>
    <t>Valorización y conciliación del inventario</t>
  </si>
  <si>
    <t>Inventario contado valorizado y cuadrado contra contabilidad.</t>
  </si>
  <si>
    <t>Logística / Bodega Colombia; Gerente de Contabilidad Regional</t>
  </si>
  <si>
    <t>C18</t>
  </si>
  <si>
    <t>Cierre contable de octubre con cuadratura de saldos</t>
  </si>
  <si>
    <t>Conciliaciones bancarias, impuestos y retenciones, clientes, proveedores, inventario y mayor cuadrados.</t>
  </si>
  <si>
    <t>Gerente de Contabilidad Regional; Tesorería Colombia</t>
  </si>
  <si>
    <t>C19</t>
  </si>
  <si>
    <t>Cierre contable con saldos cuadrados</t>
  </si>
  <si>
    <t>Balance de octubre aprobado: base para la carga de saldos.</t>
  </si>
  <si>
    <t>Contabilidad Colombia; Gerencia Colombia</t>
  </si>
  <si>
    <t>4</t>
  </si>
  <si>
    <t>4. Operación en contingencia</t>
  </si>
  <si>
    <t>Operación en contingencia</t>
  </si>
  <si>
    <t>C20</t>
  </si>
  <si>
    <t>Ventas con facturas manuales</t>
  </si>
  <si>
    <t>Emisión controlada según procedimiento de contingencia.</t>
  </si>
  <si>
    <t>Comercial / Facturación Colombia</t>
  </si>
  <si>
    <t>TI Portland SD y FFEE; Proveedor FE (Estupendo)</t>
  </si>
  <si>
    <t>C21</t>
  </si>
  <si>
    <t>Compras y recepciones manuales</t>
  </si>
  <si>
    <t>Registro en planilla de pedidos y recepciones.</t>
  </si>
  <si>
    <t>C22</t>
  </si>
  <si>
    <t>Cobros y pagos manuales</t>
  </si>
  <si>
    <t>Registro en planilla de movimientos bancarios.</t>
  </si>
  <si>
    <t>Tesorería Colombia</t>
  </si>
  <si>
    <t>5</t>
  </si>
  <si>
    <t>5. Secuencia de Paso a Producción</t>
  </si>
  <si>
    <t>Secuencia de Paso a Producción</t>
  </si>
  <si>
    <t>C23</t>
  </si>
  <si>
    <t>Pruebas de Regresión Perú</t>
  </si>
  <si>
    <t>Ejecución de Flujos de Compra, Venta y Facturación en la sociedad 2000 para validar que no hay impacto en lo existente.</t>
  </si>
  <si>
    <t>C24</t>
  </si>
  <si>
    <t>Paso a producción 1: estructuras organizativas y configuraciones base</t>
  </si>
  <si>
    <t>Sociedad, centros, almacenes, organizaciones de compra y venta y parametrización base.</t>
  </si>
  <si>
    <t>Implementador – Consultor FI/CO; Implementador – Consultor MM/SD; Implementador – FFEE/Formularios; TI Portland FICO</t>
  </si>
  <si>
    <t>C25</t>
  </si>
  <si>
    <t>Paso a producción 2: plan de cuentas</t>
  </si>
  <si>
    <t>Plan de cuentas, determinación de cuentas e impuestos.</t>
  </si>
  <si>
    <t>C26</t>
  </si>
  <si>
    <t>Paso a producción 3: centros de costos</t>
  </si>
  <si>
    <t>Jerarquía estándar y centros de costo / beneficio.</t>
  </si>
  <si>
    <t>C27</t>
  </si>
  <si>
    <t>Paso a producción 4: modelos de negocio y Facturación Electrónica</t>
  </si>
  <si>
    <t>Procesos de compra, venta y formularios; habilitación productiva de FE con Estupendo y DIAN.</t>
  </si>
  <si>
    <t>Implementador – Consultor FI/CO; Implementador – Consultor MM/SD; Implementador – FFEE/Formularios; TI Portland FICO; TI Portland SD y FFEE; Proveedor FE (Estupendo)</t>
  </si>
  <si>
    <t>C28</t>
  </si>
  <si>
    <t>Paso a producción 5: carga de datos maestros</t>
  </si>
  <si>
    <t>Clientes, proveedores, materiales y activos fijos; antes de la carga de saldos. Preparación y ejecución: Sebastián Salom (externo).</t>
  </si>
  <si>
    <t>Externo – Migración; TI Portland FICO; TI Portland MM; TI Portland SD y FFEE; Implementador – Consultor FI/CO; Implementador – Consultor MM/SD</t>
  </si>
  <si>
    <t>C29</t>
  </si>
  <si>
    <t>Validación y Ajustes</t>
  </si>
  <si>
    <t>Revisión de las estructuras y datos cargados y aplicación de ajustes requeridos (delta)</t>
  </si>
  <si>
    <t>C30</t>
  </si>
  <si>
    <t>Datos maestros cargados y validados</t>
  </si>
  <si>
    <t>Conformidad sobre muestra de registros cargados. Preparación y ejecución: Sebastián Salom (externo).</t>
  </si>
  <si>
    <t>Externo – Migración; Contabilidad Colombia; Comercial / Facturación Colombia; Logística / Bodega Colombia</t>
  </si>
  <si>
    <t>6</t>
  </si>
  <si>
    <t>6. Carga de Saldos Iniciales</t>
  </si>
  <si>
    <t>Carga de Saldos Iniciales</t>
  </si>
  <si>
    <t>C31</t>
  </si>
  <si>
    <t>Carga de partidas abiertas de clientes y proveedores</t>
  </si>
  <si>
    <t>Migration Cockpit, en COP y USD. Preparación y ejecución: Sebastián Salom (externo).</t>
  </si>
  <si>
    <t>Externo – Migración; Implementador – Consultor FI/CO; TI Portland FICO; Contabilidad Colombia</t>
  </si>
  <si>
    <t>C32</t>
  </si>
  <si>
    <t>Carga de saldos de mayor y bancos (COP/USD)</t>
  </si>
  <si>
    <t>Saldos iniciales contra cuentas de migración. Preparación y ejecución: Sebastián Salom (externo).</t>
  </si>
  <si>
    <t>Externo – Migración; Implementador – Consultor FI/CO; TI Portland FICO; Tesorería Colombia</t>
  </si>
  <si>
    <t>C33</t>
  </si>
  <si>
    <t>Carga de inventario inicial</t>
  </si>
  <si>
    <t>Stock valorizado por material y almacén. Preparación y ejecución: Sebastián Salom (externo).</t>
  </si>
  <si>
    <t>Externo – Migración; Implementador – Consultor MM/SD; TI Portland MM; Logística / Bodega Colombia</t>
  </si>
  <si>
    <t>C34</t>
  </si>
  <si>
    <t>Carga de activos fijos</t>
  </si>
  <si>
    <t>Valor de adquisición y depreciación acumulada. Preparación y ejecución: Sebastián Salom (externo).</t>
  </si>
  <si>
    <t>C35</t>
  </si>
  <si>
    <t>Validación de saldos y cuentas de migración en cero</t>
  </si>
  <si>
    <t>Saldos SAP contra balance de octubre. Preparación y ejecución: Sebastián Salom (externo).</t>
  </si>
  <si>
    <t>Externo – Migración; Contabilidad Colombia; Implementador – Consultor FI/CO; TI Portland FICO</t>
  </si>
  <si>
    <t>C36</t>
  </si>
  <si>
    <t>Saldos iniciales cargados</t>
  </si>
  <si>
    <t>Acta de conformidad de saldos. Preparación y ejecución: Sebastián Salom (externo).</t>
  </si>
  <si>
    <t>Externo – Migración; Contabilidad Colombia; Gerencia Colombia</t>
  </si>
  <si>
    <t>7</t>
  </si>
  <si>
    <t>7. Go / No-Go y entrada en vivo</t>
  </si>
  <si>
    <t>Go / No-Go y entrada en vivo</t>
  </si>
  <si>
    <t>C37</t>
  </si>
  <si>
    <t>Pruebas de Go / No-Go en producción</t>
  </si>
  <si>
    <t>Venta con FE aceptada por DIAN, compra, cobro y pago.</t>
  </si>
  <si>
    <t>Comercial / Facturación Colombia; Logística / Bodega Colombia; Tesorería Colombia; TI Portland FICO; Implementador – Consultor FI/CO; Implementador – Consultor MM/SD; Implementador – FFEE/Formularios</t>
  </si>
  <si>
    <t>C38</t>
  </si>
  <si>
    <t>Reunión de Go / No-Go</t>
  </si>
  <si>
    <t>El comité revisa los criterios y decide la entrada en vivo.</t>
  </si>
  <si>
    <t>Comité de Proyecto</t>
  </si>
  <si>
    <t>Gerente de Proyecto; Gerencia Colombia; Gerente de Contabilidad Regional; PMO Portland; Jefe de Implementación</t>
  </si>
  <si>
    <t>C39</t>
  </si>
  <si>
    <t>Go-Live: apertura de SAP a los usuarios</t>
  </si>
  <si>
    <t>Inicio de la operación en SAP S/4HANA.</t>
  </si>
  <si>
    <t>Todos</t>
  </si>
  <si>
    <t>C40</t>
  </si>
  <si>
    <t>Primera factura electrónica emitida desde SAP</t>
  </si>
  <si>
    <t>Aceptación DIAN confirmada.</t>
  </si>
  <si>
    <t>8</t>
  </si>
  <si>
    <t>8. Regularización de operaciones</t>
  </si>
  <si>
    <t>Regularización de operaciones</t>
  </si>
  <si>
    <t>C41</t>
  </si>
  <si>
    <t>Ingreso a SAP de ventas de contingencia</t>
  </si>
  <si>
    <t>Facturas manuales registradas con su numeración.</t>
  </si>
  <si>
    <t>TI Portland SD y FFEE; Implementador – Consultor MM/SD</t>
  </si>
  <si>
    <t>C42</t>
  </si>
  <si>
    <t>Ingreso de compras y recepciones de contingencia</t>
  </si>
  <si>
    <t>Pedidos, entradas de mercancía y facturas.</t>
  </si>
  <si>
    <t>TI Portland MM; Implementador – Consultor MM/SD</t>
  </si>
  <si>
    <t>C43</t>
  </si>
  <si>
    <t>Ingreso de cobros y pagos de contingencia</t>
  </si>
  <si>
    <t>Movimientos bancarios del período.</t>
  </si>
  <si>
    <t>TI Portland FICO; Implementador – Consultor FI/CO</t>
  </si>
  <si>
    <t>C44</t>
  </si>
  <si>
    <t>Regularización de Operaciones Finalizada</t>
  </si>
  <si>
    <t>Ventas, compras, recepciones, cobros y pagos de contingencia ingresados en SAP; inventario y bancos cuadrados.</t>
  </si>
  <si>
    <t>Contabilidad Colombia; Logística / Bodega Colombia; Tesorería Colombia</t>
  </si>
  <si>
    <t>9</t>
  </si>
  <si>
    <t>9. Hypercare y soporte</t>
  </si>
  <si>
    <t>Hypercare y soporte</t>
  </si>
  <si>
    <t>C45</t>
  </si>
  <si>
    <t>Hypercare presencial – war room diario</t>
  </si>
  <si>
    <t>Atención en sitio y revisión diaria de incidencias.</t>
  </si>
  <si>
    <t>PMO Portland; Gerente de Contabilidad Regional; TI Portland FICO; Jefe de Implementación</t>
  </si>
  <si>
    <t>C46</t>
  </si>
  <si>
    <t>Soporte del implementador – frente Logístico</t>
  </si>
  <si>
    <t>Compras, ventas, entregas, facturación e inventario (MM/SD).</t>
  </si>
  <si>
    <t>Implementador – Consultor MM/SD</t>
  </si>
  <si>
    <t>TI Portland MM; TI Portland SD y FFEE; Logística / Bodega Colombia; Comercial / Facturación Colombia</t>
  </si>
  <si>
    <t>C47</t>
  </si>
  <si>
    <t>Soporte del implementador – frente Financiero</t>
  </si>
  <si>
    <t>Contabilidad, bancos, pagos, impuestos y retenciones (FI/CO).</t>
  </si>
  <si>
    <t>Implementador – Consultor FI/CO</t>
  </si>
  <si>
    <t>TI Portland FICO; Contabilidad Colombia; Tesorería Colombia</t>
  </si>
  <si>
    <t>C48</t>
  </si>
  <si>
    <t>Monitoreo de FE y rechazos DIAN</t>
  </si>
  <si>
    <t>Revisión diaria de documentos rechazados o pendientes.</t>
  </si>
  <si>
    <t>TI Portland SD y FFEE</t>
  </si>
  <si>
    <t>Implementador – FFEE/Formularios; Proveedor FE (Estupendo); Comercial / Facturación Colombia</t>
  </si>
  <si>
    <t>C49</t>
  </si>
  <si>
    <t>Cierre del Hypercare y traspaso a soporte continuo</t>
  </si>
  <si>
    <t>Criterios de salida cumplidos.</t>
  </si>
  <si>
    <t>Gerente de Proyecto; Jefe de Implementación</t>
  </si>
  <si>
    <t>Leyenda</t>
  </si>
  <si>
    <t>Demorado</t>
  </si>
  <si>
    <t>Finalizado</t>
  </si>
  <si>
    <t>Fin de semana / feriado</t>
  </si>
  <si>
    <t>◆</t>
  </si>
  <si>
    <t>Alerta: «Vencida» = la fecha de fin ya pasó y no está Finalizada; «Sin iniciar» = debió comenzar y sigue No iniciado. La fecha de referencia es la de la hoja Hoy.</t>
  </si>
  <si>
    <t>Estatus resumido del cutover</t>
  </si>
  <si>
    <t>Se calcula desde la hoja Gantt Cutover y la fecha de la hoja Hoy.</t>
  </si>
  <si>
    <t>Actividades e hitos</t>
  </si>
  <si>
    <t>Finalizadas</t>
  </si>
  <si>
    <t>Demoradas</t>
  </si>
  <si>
    <t>No iniciadas</t>
  </si>
  <si>
    <t>Vencidas</t>
  </si>
  <si>
    <t>% finalizado</t>
  </si>
  <si>
    <t>Días al Go-Live</t>
  </si>
  <si>
    <t>Avance por fase</t>
  </si>
  <si>
    <t>Total</t>
  </si>
  <si>
    <t>Estado de la fase</t>
  </si>
  <si>
    <t>Hitos</t>
  </si>
  <si>
    <t>Fecha</t>
  </si>
  <si>
    <t>Días restantes</t>
  </si>
  <si>
    <t>Estado por frente</t>
  </si>
  <si>
    <t>Actividades del día</t>
  </si>
  <si>
    <t>Escriba la fecha en la celda amarilla (por defecto, la fecha actual) y la hoja muestra lo que debe estar ocurriendo ese día y quién participa.</t>
  </si>
  <si>
    <t>Fecha de consulta</t>
  </si>
  <si>
    <t>Equipo en sitio</t>
  </si>
  <si>
    <t>Día no hábil</t>
  </si>
  <si>
    <t>Actividades vencidas</t>
  </si>
  <si>
    <t>Lo que debe estar ocurriendo en la fecha</t>
  </si>
  <si>
    <t>#</t>
  </si>
  <si>
    <t>Nombre responsable</t>
  </si>
  <si>
    <t>Actividades vencidas (fin anterior a la fecha y no finalizadas)</t>
  </si>
  <si>
    <t>Equipo de cutover y calendario</t>
  </si>
  <si>
    <t>Roles usados en Responsable y Participantes. Los nombres (amarillo) se muestran en la hoja Hoy.</t>
  </si>
  <si>
    <t>Rol</t>
  </si>
  <si>
    <t>Nombre</t>
  </si>
  <si>
    <t>Organización</t>
  </si>
  <si>
    <t>En Bogotá</t>
  </si>
  <si>
    <t>Gerencia Colombia</t>
  </si>
  <si>
    <t>Juliana Gomez</t>
  </si>
  <si>
    <t>Portland Colombia</t>
  </si>
  <si>
    <t>Local</t>
  </si>
  <si>
    <t>Camila Castiblanco</t>
  </si>
  <si>
    <t>Felipe Fernadez</t>
  </si>
  <si>
    <t>Diana Trujillo / Santiago Saavedra</t>
  </si>
  <si>
    <t>Andrés García</t>
  </si>
  <si>
    <t>Germán Faundes</t>
  </si>
  <si>
    <t>Portland</t>
  </si>
  <si>
    <t>02 al 12-11</t>
  </si>
  <si>
    <t>Daniela Correa</t>
  </si>
  <si>
    <t>Oscar Sella</t>
  </si>
  <si>
    <t>Leandro Jara</t>
  </si>
  <si>
    <t>No</t>
  </si>
  <si>
    <t>Héctor Correa</t>
  </si>
  <si>
    <t>PMO Portland</t>
  </si>
  <si>
    <t>Gabriel Salinas</t>
  </si>
  <si>
    <t>Daniel Yung</t>
  </si>
  <si>
    <t>—</t>
  </si>
  <si>
    <t>08 al 10-11</t>
  </si>
  <si>
    <t>Sebastián Salom</t>
  </si>
  <si>
    <t>Externo</t>
  </si>
  <si>
    <t>03 al 06-11 y 09 al 12-11</t>
  </si>
  <si>
    <t>Jorge Muñoz</t>
  </si>
  <si>
    <t>Implementador (AUI)</t>
  </si>
  <si>
    <t>Eduardo Eyzaguirre</t>
  </si>
  <si>
    <t>Gustavo Ruiz / Adrián Ramírez</t>
  </si>
  <si>
    <t>Implementador – FFEE/Formularios</t>
  </si>
  <si>
    <t>Mauricio Donoso</t>
  </si>
  <si>
    <t>Proveedor FE (Estupendo)</t>
  </si>
  <si>
    <t>Carlos Andrés Rodriguez</t>
  </si>
  <si>
    <t>Estupendo</t>
  </si>
  <si>
    <t>Alonso Cuba</t>
  </si>
  <si>
    <t>Portland TI Perú</t>
  </si>
  <si>
    <t>15 al 20-11</t>
  </si>
  <si>
    <t>Calendario</t>
  </si>
  <si>
    <t>Go-Live</t>
  </si>
  <si>
    <t>Inicio del viaje del equipo</t>
  </si>
  <si>
    <t>Fin del viaje del equipo</t>
  </si>
  <si>
    <t>Feriados en el período (Colombia)</t>
  </si>
  <si>
    <t>Día de Todos los Santos (trasladado)</t>
  </si>
  <si>
    <t>Fuente de los feriados: calendario oficial de festivos de Colombia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</si>
</sst>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\-mm\-yy"/>
    <numFmt numFmtId="166" formatCode=";;;@"/>
    <numFmt numFmtId="167" formatCode="dddd\ dd\-mm\-yyyy"/>
    <numFmt numFmtId="168" formatCode="dd\-mm\-yyyy"/>
  </numFmts>
  <fonts count="23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3864"/>
      <name val="Arial"/>
      <family val="2"/>
    </font>
    <font>
      <i/>
      <sz val="9"/>
      <color rgb="FF595959"/>
      <name val="Arial"/>
      <family val="2"/>
    </font>
    <font>
      <b/>
      <sz val="9"/>
      <color rgb="FF1F3864"/>
      <name val="Arial"/>
      <family val="2"/>
    </font>
    <font>
      <b/>
      <i/>
      <sz val="8"/>
      <color rgb="FF1F3864"/>
      <name val="Arial"/>
      <family val="2"/>
    </font>
    <font>
      <sz val="7"/>
      <color rgb="FF808080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0"/>
      <color rgb="FFC00000"/>
      <name val="Arial"/>
      <family val="2"/>
    </font>
    <font>
      <b/>
      <sz val="9"/>
      <name val="Arial"/>
      <family val="2"/>
    </font>
    <font>
      <b/>
      <sz val="10"/>
      <color rgb="FF1F3864"/>
      <name val="Arial"/>
      <family val="2"/>
    </font>
    <font>
      <i/>
      <sz val="8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sz val="8"/>
      <color rgb="FFA0A0A0"/>
      <name val="Arial"/>
      <family val="2"/>
    </font>
    <font>
      <sz val="10"/>
      <color rgb="FF0000FF"/>
      <name val="Arial"/>
      <family val="2"/>
    </font>
    <font>
      <i/>
      <sz val="8"/>
      <color rgb="FF80808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A6A6A6"/>
        <bgColor rgb="FFA0A0A0"/>
      </patternFill>
    </fill>
    <fill>
      <patternFill patternType="solid">
        <fgColor rgb="FF2E5C8A"/>
        <bgColor rgb="FF2E75B6"/>
      </patternFill>
    </fill>
    <fill>
      <patternFill patternType="solid">
        <fgColor rgb="FFFFF2CC"/>
        <bgColor rgb="FFF2F2F2"/>
      </patternFill>
    </fill>
    <fill>
      <patternFill patternType="solid">
        <fgColor rgb="FF9DB8DE"/>
        <bgColor rgb="FFA6A6A6"/>
      </patternFill>
    </fill>
    <fill>
      <patternFill patternType="solid">
        <fgColor rgb="FF2E75B6"/>
        <bgColor rgb="FF2E5C8A"/>
      </patternFill>
    </fill>
    <fill>
      <patternFill patternType="solid">
        <fgColor rgb="FFE8A188"/>
        <bgColor rgb="FFFF8080"/>
      </patternFill>
    </fill>
    <fill>
      <patternFill patternType="solid">
        <fgColor rgb="FFA9D08E"/>
        <bgColor rgb="FF9DB8DE"/>
      </patternFill>
    </fill>
    <fill>
      <patternFill patternType="solid">
        <fgColor rgb="FFF2F2F2"/>
        <bgColor rgb="FFEDEDED"/>
      </patternFill>
    </fill>
  </fills>
  <borders count="3">
    <border>
      <left/>
      <right/>
      <top/>
      <bottom/>
      <diagonal/>
    </border>
    <border>
      <left style="thin">
        <color rgb="FFD0D5DC"/>
      </left>
      <right style="thin">
        <color rgb="FFD0D5DC"/>
      </right>
      <top style="thin">
        <color rgb="FFD0D5DC"/>
      </top>
      <bottom style="thin">
        <color rgb="FFD0D5DC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165" fontId="9" fillId="4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5" fontId="10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166" fontId="11" fillId="0" borderId="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0" xfId="0" applyFont="1"/>
    <xf numFmtId="0" fontId="0" fillId="6" borderId="0" xfId="0" applyFill="1"/>
    <xf numFmtId="0" fontId="10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1" fillId="0" borderId="0" xfId="0" applyFont="1"/>
    <xf numFmtId="0" fontId="14" fillId="0" borderId="0" xfId="0" applyFont="1"/>
    <xf numFmtId="1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15" fillId="0" borderId="0" xfId="0" applyFont="1"/>
    <xf numFmtId="0" fontId="16" fillId="0" borderId="1" xfId="0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/>
    </xf>
    <xf numFmtId="165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8" fillId="0" borderId="0" xfId="0" applyFont="1"/>
    <xf numFmtId="167" fontId="19" fillId="5" borderId="0" xfId="0" applyNumberFormat="1" applyFont="1" applyFill="1"/>
    <xf numFmtId="0" fontId="17" fillId="0" borderId="0" xfId="0" applyFont="1"/>
    <xf numFmtId="1" fontId="13" fillId="0" borderId="0" xfId="0" applyNumberFormat="1" applyFont="1"/>
    <xf numFmtId="49" fontId="13" fillId="0" borderId="0" xfId="0" applyNumberFormat="1" applyFont="1"/>
    <xf numFmtId="0" fontId="20" fillId="0" borderId="0" xfId="0" applyFont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165" fontId="10" fillId="0" borderId="1" xfId="0" applyNumberFormat="1" applyFont="1" applyBorder="1" applyAlignment="1">
      <alignment vertical="center"/>
    </xf>
    <xf numFmtId="0" fontId="16" fillId="0" borderId="1" xfId="0" applyFont="1" applyBorder="1"/>
    <xf numFmtId="0" fontId="17" fillId="5" borderId="1" xfId="0" applyFont="1" applyFill="1" applyBorder="1"/>
    <xf numFmtId="0" fontId="17" fillId="0" borderId="1" xfId="0" applyFont="1" applyBorder="1"/>
    <xf numFmtId="0" fontId="16" fillId="0" borderId="0" xfId="0" applyFont="1"/>
    <xf numFmtId="168" fontId="21" fillId="5" borderId="0" xfId="0" applyNumberFormat="1" applyFont="1" applyFill="1"/>
    <xf numFmtId="168" fontId="21" fillId="0" borderId="0" xfId="0" applyNumberFormat="1" applyFont="1"/>
    <xf numFmtId="0" fontId="22" fillId="0" borderId="0" xfId="0" applyFont="1"/>
  </cellXfs>
  <cellStyles count="1">
    <cellStyle name="Normal" xfId="0" builtinId="0"/>
  </cellStyles>
  <dxfs count="32">
    <dxf>
      <font>
        <b/>
        <color rgb="FF404040"/>
        <name val="Arial"/>
        <charset val="1"/>
      </font>
      <fill>
        <patternFill>
          <bgColor rgb="FFEDEDED"/>
        </patternFill>
      </fill>
    </dxf>
    <dxf>
      <font>
        <b/>
        <color rgb="FF404040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DDEBF7"/>
        </patternFill>
      </fill>
    </dxf>
    <dxf>
      <font>
        <b/>
        <color rgb="FF404040"/>
        <name val="Arial"/>
        <charset val="1"/>
      </font>
      <fill>
        <patternFill>
          <bgColor rgb="FFC6EFCE"/>
        </patternFill>
      </fill>
    </dxf>
    <dxf>
      <font>
        <b/>
        <color rgb="FF404040"/>
        <name val="Arial"/>
        <charset val="1"/>
      </font>
      <fill>
        <patternFill>
          <bgColor rgb="FFEDEDED"/>
        </patternFill>
      </fill>
    </dxf>
    <dxf>
      <font>
        <b/>
        <color rgb="FF404040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DDEBF7"/>
        </patternFill>
      </fill>
    </dxf>
    <dxf>
      <font>
        <b/>
        <color rgb="FF404040"/>
        <name val="Arial"/>
        <charset val="1"/>
      </font>
      <fill>
        <patternFill>
          <bgColor rgb="FFC6EFCE"/>
        </patternFill>
      </fill>
    </dxf>
    <dxf>
      <font>
        <b/>
        <color rgb="FF404040"/>
        <name val="Arial"/>
        <charset val="1"/>
      </font>
      <fill>
        <patternFill>
          <bgColor rgb="FFEDEDED"/>
        </patternFill>
      </fill>
    </dxf>
    <dxf>
      <font>
        <b/>
        <color rgb="FF404040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DDEBF7"/>
        </patternFill>
      </fill>
    </dxf>
    <dxf>
      <font>
        <b/>
        <color rgb="FF404040"/>
        <name val="Arial"/>
        <charset val="1"/>
      </font>
      <fill>
        <patternFill>
          <bgColor rgb="FFC6EFCE"/>
        </patternFill>
      </fill>
    </dxf>
    <dxf>
      <font>
        <b/>
        <color rgb="FFC00000"/>
        <name val="Arial"/>
        <charset val="1"/>
      </font>
    </dxf>
    <dxf>
      <font>
        <b/>
        <color rgb="FF404040"/>
        <name val="Arial"/>
        <charset val="1"/>
      </font>
      <fill>
        <patternFill>
          <bgColor rgb="FFEDEDED"/>
        </patternFill>
      </fill>
    </dxf>
    <dxf>
      <font>
        <b/>
        <color rgb="FF404040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DDEBF7"/>
        </patternFill>
      </fill>
    </dxf>
    <dxf>
      <font>
        <b/>
        <color rgb="FF404040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D6DCE4"/>
        </patternFill>
      </fill>
    </dxf>
    <dxf>
      <fill>
        <patternFill>
          <bgColor rgb="FF9DB8DE"/>
        </patternFill>
      </fill>
    </dxf>
    <dxf>
      <fill>
        <patternFill>
          <bgColor rgb="FFE8A188"/>
        </patternFill>
      </fill>
    </dxf>
    <dxf>
      <fill>
        <patternFill>
          <bgColor rgb="FF2E75B6"/>
        </patternFill>
      </fill>
    </dxf>
    <dxf>
      <fill>
        <patternFill>
          <bgColor rgb="FFA9D08E"/>
        </patternFill>
      </fill>
    </dxf>
    <dxf>
      <border diagonalUp="0" diagonalDown="0">
        <left style="thin">
          <color rgb="FFC00000"/>
        </left>
        <right style="thin">
          <color rgb="FFC00000"/>
        </right>
        <top style="hair">
          <color rgb="FFD9D9D9"/>
        </top>
        <bottom style="hair">
          <color rgb="FFD9D9D9"/>
        </bottom>
      </border>
    </dxf>
    <dxf>
      <fill>
        <patternFill>
          <bgColor rgb="FFC8791A"/>
        </patternFill>
      </fill>
    </dxf>
    <dxf>
      <fill>
        <patternFill>
          <bgColor rgb="FFC00000"/>
        </patternFill>
      </fill>
    </dxf>
    <dxf>
      <font>
        <b/>
        <color rgb="FFC8791A"/>
        <name val="Arial"/>
        <charset val="1"/>
      </font>
    </dxf>
    <dxf>
      <font>
        <b/>
        <color rgb="FFC00000"/>
        <name val="Arial"/>
        <charset val="1"/>
      </font>
    </dxf>
    <dxf>
      <font>
        <b/>
        <color rgb="FF404040"/>
        <name val="Arial"/>
        <charset val="1"/>
      </font>
      <fill>
        <patternFill>
          <bgColor rgb="FFEDEDED"/>
        </patternFill>
      </fill>
    </dxf>
    <dxf>
      <font>
        <b/>
        <color rgb="FF404040"/>
        <name val="Arial"/>
        <charset val="1"/>
      </font>
      <fill>
        <patternFill>
          <bgColor rgb="FFF8CBAD"/>
        </patternFill>
      </fill>
    </dxf>
    <dxf>
      <font>
        <b/>
        <color rgb="FF404040"/>
        <name val="Arial"/>
        <charset val="1"/>
      </font>
      <fill>
        <patternFill>
          <bgColor rgb="FFDDEBF7"/>
        </patternFill>
      </fill>
    </dxf>
    <dxf>
      <font>
        <b/>
        <color rgb="FF40404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A6A6A6"/>
      <rgbColor rgb="FF993366"/>
      <rgbColor rgb="FFFFF2CC"/>
      <rgbColor rgb="FFDDEBF7"/>
      <rgbColor rgb="FF660066"/>
      <rgbColor rgb="FFFF8080"/>
      <rgbColor rgb="FF0066CC"/>
      <rgbColor rgb="FFD0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EDEDED"/>
      <rgbColor rgb="FF9DB8DE"/>
      <rgbColor rgb="FFE8A188"/>
      <rgbColor rgb="FFD9D9D9"/>
      <rgbColor rgb="FFF8CBAD"/>
      <rgbColor rgb="FF2E75B6"/>
      <rgbColor rgb="FF33CCCC"/>
      <rgbColor rgb="FF99CC00"/>
      <rgbColor rgb="FFD6DCE4"/>
      <rgbColor rgb="FFFF9900"/>
      <rgbColor rgb="FFC8791A"/>
      <rgbColor rgb="FF595959"/>
      <rgbColor rgb="FFA0A0A0"/>
      <rgbColor rgb="FF1F3864"/>
      <rgbColor rgb="FF339966"/>
      <rgbColor rgb="FF003300"/>
      <rgbColor rgb="FF333300"/>
      <rgbColor rgb="FF993300"/>
      <rgbColor rgb="FF993366"/>
      <rgbColor rgb="FF2E5C8A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A72"/>
  <sheetViews>
    <sheetView showGridLines="0" tabSelected="1" zoomScaleNormal="100" workbookViewId="0">
      <pane xSplit="3" ySplit="5" topLeftCell="I6" activePane="bottomRight" state="frozen"/>
      <selection pane="topRight" activeCell="D1" sqref="D1"/>
      <selection pane="bottomLeft" activeCell="A6" sqref="A6"/>
      <selection pane="bottomRight" activeCell="M33" sqref="M33"/>
    </sheetView>
  </sheetViews>
  <sheetFormatPr baseColWidth="10" defaultColWidth="8.6640625" defaultRowHeight="14.4" outlineLevelRow="1" x14ac:dyDescent="0.3"/>
  <cols>
    <col min="1" max="1" width="6" customWidth="1"/>
    <col min="2" max="2" width="32" customWidth="1"/>
    <col min="3" max="3" width="44" customWidth="1"/>
    <col min="4" max="4" width="8" customWidth="1"/>
    <col min="5" max="5" width="46" customWidth="1"/>
    <col min="6" max="6" width="14" customWidth="1"/>
    <col min="7" max="7" width="26" customWidth="1"/>
    <col min="8" max="8" width="40" customWidth="1"/>
    <col min="9" max="9" width="11" customWidth="1"/>
    <col min="10" max="11" width="10" customWidth="1"/>
    <col min="12" max="12" width="6" customWidth="1"/>
    <col min="13" max="13" width="13" customWidth="1"/>
    <col min="14" max="14" width="12" customWidth="1"/>
    <col min="15" max="15" width="26" customWidth="1"/>
    <col min="16" max="47" width="3.44140625" customWidth="1"/>
    <col min="49" max="53" width="7" hidden="1" customWidth="1"/>
  </cols>
  <sheetData>
    <row r="1" spans="1:53" ht="21" x14ac:dyDescent="0.4">
      <c r="A1" s="1" t="s">
        <v>0</v>
      </c>
    </row>
    <row r="2" spans="1:53" x14ac:dyDescent="0.3">
      <c r="A2" s="2" t="s">
        <v>1</v>
      </c>
    </row>
    <row r="3" spans="1:53" x14ac:dyDescent="0.3">
      <c r="A3" s="3" t="str">
        <f ca="1">"Fecha de consulta: "&amp;TEXT(Hoy!$C$4,"dd-mm-yyyy")&amp;"   ·   Equipo de proyecto en Bogotá del 02 al 12-11   ·   Feriados de Colombia sombreados"</f>
        <v>Fecha de consulta: 28-10-2026   ·   Equipo de proyecto en Bogotá del 02 al 12-11   ·   Feriados de Colombia sombreados</v>
      </c>
      <c r="P3" s="4" t="s">
        <v>2</v>
      </c>
      <c r="AB3" s="4" t="s">
        <v>3</v>
      </c>
    </row>
    <row r="4" spans="1:53" x14ac:dyDescent="0.3">
      <c r="P4" s="5" t="s">
        <v>4</v>
      </c>
      <c r="Q4" s="5" t="s">
        <v>4</v>
      </c>
      <c r="R4" s="5" t="s">
        <v>5</v>
      </c>
      <c r="S4" s="5" t="s">
        <v>6</v>
      </c>
      <c r="T4" s="5" t="s">
        <v>7</v>
      </c>
      <c r="U4" s="5" t="s">
        <v>8</v>
      </c>
      <c r="V4" s="5" t="s">
        <v>9</v>
      </c>
      <c r="W4" s="5" t="s">
        <v>4</v>
      </c>
      <c r="X4" s="5" t="s">
        <v>4</v>
      </c>
      <c r="Y4" s="5" t="s">
        <v>5</v>
      </c>
      <c r="Z4" s="5" t="s">
        <v>6</v>
      </c>
      <c r="AA4" s="5" t="s">
        <v>7</v>
      </c>
      <c r="AB4" s="5" t="s">
        <v>8</v>
      </c>
      <c r="AC4" s="5" t="s">
        <v>9</v>
      </c>
      <c r="AD4" s="5" t="s">
        <v>4</v>
      </c>
      <c r="AE4" s="5" t="s">
        <v>4</v>
      </c>
      <c r="AF4" s="5" t="s">
        <v>5</v>
      </c>
      <c r="AG4" s="5" t="s">
        <v>6</v>
      </c>
      <c r="AH4" s="5" t="s">
        <v>7</v>
      </c>
      <c r="AI4" s="5" t="s">
        <v>8</v>
      </c>
      <c r="AJ4" s="5" t="s">
        <v>9</v>
      </c>
      <c r="AK4" s="5" t="s">
        <v>4</v>
      </c>
      <c r="AL4" s="5" t="s">
        <v>4</v>
      </c>
      <c r="AM4" s="5" t="s">
        <v>5</v>
      </c>
      <c r="AN4" s="5" t="s">
        <v>6</v>
      </c>
      <c r="AO4" s="5" t="s">
        <v>7</v>
      </c>
      <c r="AP4" s="5" t="s">
        <v>8</v>
      </c>
      <c r="AQ4" s="5" t="s">
        <v>9</v>
      </c>
      <c r="AR4" s="5" t="s">
        <v>4</v>
      </c>
      <c r="AS4" s="5" t="s">
        <v>4</v>
      </c>
      <c r="AT4" s="5" t="s">
        <v>5</v>
      </c>
      <c r="AU4" s="5" t="s">
        <v>6</v>
      </c>
    </row>
    <row r="5" spans="1:53" ht="30" customHeight="1" x14ac:dyDescent="0.3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6" t="s">
        <v>19</v>
      </c>
      <c r="K5" s="6" t="s">
        <v>20</v>
      </c>
      <c r="L5" s="6" t="s">
        <v>21</v>
      </c>
      <c r="M5" s="6" t="s">
        <v>22</v>
      </c>
      <c r="N5" s="6" t="s">
        <v>23</v>
      </c>
      <c r="O5" s="6" t="s">
        <v>24</v>
      </c>
      <c r="P5" s="7">
        <v>46315</v>
      </c>
      <c r="Q5" s="7">
        <v>46316</v>
      </c>
      <c r="R5" s="7">
        <v>46317</v>
      </c>
      <c r="S5" s="7">
        <v>46318</v>
      </c>
      <c r="T5" s="7">
        <v>46319</v>
      </c>
      <c r="U5" s="7">
        <v>46320</v>
      </c>
      <c r="V5" s="7">
        <v>46321</v>
      </c>
      <c r="W5" s="7">
        <v>46322</v>
      </c>
      <c r="X5" s="7">
        <v>46323</v>
      </c>
      <c r="Y5" s="7">
        <v>46324</v>
      </c>
      <c r="Z5" s="7">
        <v>46325</v>
      </c>
      <c r="AA5" s="7">
        <v>46326</v>
      </c>
      <c r="AB5" s="7">
        <v>46327</v>
      </c>
      <c r="AC5" s="7">
        <v>46328</v>
      </c>
      <c r="AD5" s="7">
        <v>46329</v>
      </c>
      <c r="AE5" s="7">
        <v>46330</v>
      </c>
      <c r="AF5" s="7">
        <v>46331</v>
      </c>
      <c r="AG5" s="7">
        <v>46332</v>
      </c>
      <c r="AH5" s="7">
        <v>46333</v>
      </c>
      <c r="AI5" s="7">
        <v>46334</v>
      </c>
      <c r="AJ5" s="7">
        <v>46335</v>
      </c>
      <c r="AK5" s="7">
        <v>46336</v>
      </c>
      <c r="AL5" s="7">
        <v>46337</v>
      </c>
      <c r="AM5" s="7">
        <v>46338</v>
      </c>
      <c r="AN5" s="7">
        <v>46339</v>
      </c>
      <c r="AO5" s="7">
        <v>46340</v>
      </c>
      <c r="AP5" s="7">
        <v>46341</v>
      </c>
      <c r="AQ5" s="7">
        <v>46342</v>
      </c>
      <c r="AR5" s="7">
        <v>46343</v>
      </c>
      <c r="AS5" s="7">
        <v>46344</v>
      </c>
      <c r="AT5" s="7">
        <v>46345</v>
      </c>
      <c r="AU5" s="7">
        <v>46346</v>
      </c>
      <c r="AW5" s="8" t="s">
        <v>25</v>
      </c>
      <c r="AX5" s="8" t="s">
        <v>26</v>
      </c>
      <c r="AY5" s="8" t="s">
        <v>27</v>
      </c>
      <c r="AZ5" s="8" t="s">
        <v>28</v>
      </c>
      <c r="BA5" s="8" t="s">
        <v>29</v>
      </c>
    </row>
    <row r="6" spans="1:53" ht="18" customHeight="1" x14ac:dyDescent="0.3">
      <c r="A6" s="9" t="s">
        <v>30</v>
      </c>
      <c r="B6" s="10" t="s">
        <v>31</v>
      </c>
      <c r="C6" s="10" t="s">
        <v>32</v>
      </c>
      <c r="D6" s="9" t="s">
        <v>11</v>
      </c>
      <c r="E6" s="10"/>
      <c r="F6" s="9"/>
      <c r="G6" s="10"/>
      <c r="H6" s="10"/>
      <c r="I6" s="9"/>
      <c r="J6" s="11">
        <f>MIN(J7:J11)</f>
        <v>46328</v>
      </c>
      <c r="K6" s="11">
        <f>MAX(K7:K11)</f>
        <v>46346</v>
      </c>
      <c r="L6" s="9">
        <f t="shared" ref="L6:L36" si="0">K6-J6+1</f>
        <v>19</v>
      </c>
      <c r="M6" s="9" t="str">
        <f ca="1">IF(COUNTIF(M7:M11,"Finalizado")=ROWS(M7:M11),"Finalizado",IF(OR(COUNTIF(M7:M11,"Demorado")&gt;0,COUNTIF(N7:N11,"Vencida")&gt;0),"Demorado",IF(COUNTIF(M7:M11,"En curso")+COUNTIF(M7:M11,"Finalizado")&gt;0,"En curso","No iniciado")))</f>
        <v>No iniciado</v>
      </c>
      <c r="N6" s="9" t="str">
        <f ca="1">IF(COUNTIF(N7:N11,"Vencida")&gt;0,COUNTIF(N7:N11,"Vencida")&amp;" vencida(s)","")</f>
        <v/>
      </c>
      <c r="O6" s="10" t="str">
        <f>COUNTIF(M7:M11,"Finalizado")&amp;" de "&amp;ROWS(M7:M11)&amp;" finalizadas"</f>
        <v>0 de 5 finalizadas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W6">
        <v>0</v>
      </c>
    </row>
    <row r="7" spans="1:53" ht="30" customHeight="1" outlineLevel="1" x14ac:dyDescent="0.3">
      <c r="A7" s="13" t="s">
        <v>33</v>
      </c>
      <c r="B7" s="14" t="s">
        <v>31</v>
      </c>
      <c r="C7" s="15" t="s">
        <v>34</v>
      </c>
      <c r="D7" s="13" t="s">
        <v>35</v>
      </c>
      <c r="E7" s="15" t="s">
        <v>36</v>
      </c>
      <c r="F7" s="14" t="s">
        <v>37</v>
      </c>
      <c r="G7" s="15" t="s">
        <v>38</v>
      </c>
      <c r="H7" s="15" t="s">
        <v>39</v>
      </c>
      <c r="I7" s="13" t="s">
        <v>40</v>
      </c>
      <c r="J7" s="16">
        <v>46328</v>
      </c>
      <c r="K7" s="16">
        <v>46338</v>
      </c>
      <c r="L7" s="13">
        <f t="shared" si="0"/>
        <v>11</v>
      </c>
      <c r="M7" s="17" t="s">
        <v>41</v>
      </c>
      <c r="N7" s="13" t="str">
        <f ca="1">IF(M7="Finalizado","",IF(K7&lt;Hoy!$C$4,"Vencida",IF(AND(J7&lt;=Hoy!$C$4,M7="No iniciado"),"Sin iniciar","")))</f>
        <v/>
      </c>
      <c r="O7" s="18"/>
      <c r="P7" s="19" t="str">
        <f t="shared" ref="P7:Y11" si="1">IF(AND($D7="Hito",P$5=$J7),"◆","")</f>
        <v/>
      </c>
      <c r="Q7" s="19" t="str">
        <f t="shared" si="1"/>
        <v/>
      </c>
      <c r="R7" s="19" t="str">
        <f t="shared" si="1"/>
        <v/>
      </c>
      <c r="S7" s="19" t="str">
        <f t="shared" si="1"/>
        <v/>
      </c>
      <c r="T7" s="19" t="str">
        <f t="shared" si="1"/>
        <v/>
      </c>
      <c r="U7" s="19" t="str">
        <f t="shared" si="1"/>
        <v/>
      </c>
      <c r="V7" s="19" t="str">
        <f t="shared" si="1"/>
        <v/>
      </c>
      <c r="W7" s="19" t="str">
        <f t="shared" si="1"/>
        <v/>
      </c>
      <c r="X7" s="19" t="str">
        <f t="shared" si="1"/>
        <v/>
      </c>
      <c r="Y7" s="19" t="str">
        <f t="shared" si="1"/>
        <v/>
      </c>
      <c r="Z7" s="19" t="str">
        <f t="shared" ref="Z7:AI11" si="2">IF(AND($D7="Hito",Z$5=$J7),"◆","")</f>
        <v/>
      </c>
      <c r="AA7" s="19" t="str">
        <f t="shared" si="2"/>
        <v/>
      </c>
      <c r="AB7" s="19" t="str">
        <f t="shared" si="2"/>
        <v/>
      </c>
      <c r="AC7" s="19" t="str">
        <f t="shared" si="2"/>
        <v/>
      </c>
      <c r="AD7" s="19" t="str">
        <f t="shared" si="2"/>
        <v/>
      </c>
      <c r="AE7" s="19" t="str">
        <f t="shared" si="2"/>
        <v/>
      </c>
      <c r="AF7" s="19" t="str">
        <f t="shared" si="2"/>
        <v/>
      </c>
      <c r="AG7" s="19" t="str">
        <f t="shared" si="2"/>
        <v/>
      </c>
      <c r="AH7" s="19" t="str">
        <f t="shared" si="2"/>
        <v/>
      </c>
      <c r="AI7" s="19" t="str">
        <f t="shared" si="2"/>
        <v/>
      </c>
      <c r="AJ7" s="19" t="str">
        <f t="shared" ref="AJ7:AU11" si="3">IF(AND($D7="Hito",AJ$5=$J7),"◆","")</f>
        <v/>
      </c>
      <c r="AK7" s="19" t="str">
        <f t="shared" si="3"/>
        <v/>
      </c>
      <c r="AL7" s="19" t="str">
        <f t="shared" si="3"/>
        <v/>
      </c>
      <c r="AM7" s="19" t="str">
        <f t="shared" si="3"/>
        <v/>
      </c>
      <c r="AN7" s="19" t="str">
        <f t="shared" si="3"/>
        <v/>
      </c>
      <c r="AO7" s="19" t="str">
        <f t="shared" si="3"/>
        <v/>
      </c>
      <c r="AP7" s="19" t="str">
        <f t="shared" si="3"/>
        <v/>
      </c>
      <c r="AQ7" s="19" t="str">
        <f t="shared" si="3"/>
        <v/>
      </c>
      <c r="AR7" s="19" t="str">
        <f t="shared" si="3"/>
        <v/>
      </c>
      <c r="AS7" s="19" t="str">
        <f t="shared" si="3"/>
        <v/>
      </c>
      <c r="AT7" s="19" t="str">
        <f t="shared" si="3"/>
        <v/>
      </c>
      <c r="AU7" s="19" t="str">
        <f t="shared" si="3"/>
        <v/>
      </c>
      <c r="AW7">
        <v>1</v>
      </c>
      <c r="AX7">
        <f ca="1">IF(AND(J7&lt;=Hoy!$C$4,K7&gt;=Hoy!$C$4),1,0)</f>
        <v>0</v>
      </c>
      <c r="AY7" t="str">
        <f ca="1">IF(AX7=1,SUM($AX$6:AX7),"")</f>
        <v/>
      </c>
      <c r="AZ7">
        <f ca="1">IF(N7="Vencida",1,0)</f>
        <v>0</v>
      </c>
      <c r="BA7" t="str">
        <f ca="1">IF(AZ7=1,SUM($AZ$6:AZ7),"")</f>
        <v/>
      </c>
    </row>
    <row r="8" spans="1:53" ht="30" customHeight="1" outlineLevel="1" x14ac:dyDescent="0.3">
      <c r="A8" s="13" t="s">
        <v>42</v>
      </c>
      <c r="B8" s="14" t="s">
        <v>31</v>
      </c>
      <c r="C8" s="15" t="s">
        <v>43</v>
      </c>
      <c r="D8" s="13" t="s">
        <v>35</v>
      </c>
      <c r="E8" s="15" t="s">
        <v>44</v>
      </c>
      <c r="F8" s="14" t="s">
        <v>37</v>
      </c>
      <c r="G8" s="15" t="s">
        <v>45</v>
      </c>
      <c r="H8" s="15" t="s">
        <v>38</v>
      </c>
      <c r="I8" s="13" t="s">
        <v>40</v>
      </c>
      <c r="J8" s="16">
        <v>46334</v>
      </c>
      <c r="K8" s="16">
        <v>46336</v>
      </c>
      <c r="L8" s="13">
        <f t="shared" si="0"/>
        <v>3</v>
      </c>
      <c r="M8" s="17" t="s">
        <v>41</v>
      </c>
      <c r="N8" s="13" t="str">
        <f ca="1">IF(M8="Finalizado","",IF(K8&lt;Hoy!$C$4,"Vencida",IF(AND(J8&lt;=Hoy!$C$4,M8="No iniciado"),"Sin iniciar","")))</f>
        <v/>
      </c>
      <c r="O8" s="18"/>
      <c r="P8" s="19" t="str">
        <f t="shared" si="1"/>
        <v/>
      </c>
      <c r="Q8" s="19" t="str">
        <f t="shared" si="1"/>
        <v/>
      </c>
      <c r="R8" s="19" t="str">
        <f t="shared" si="1"/>
        <v/>
      </c>
      <c r="S8" s="19" t="str">
        <f t="shared" si="1"/>
        <v/>
      </c>
      <c r="T8" s="19" t="str">
        <f t="shared" si="1"/>
        <v/>
      </c>
      <c r="U8" s="19" t="str">
        <f t="shared" si="1"/>
        <v/>
      </c>
      <c r="V8" s="19" t="str">
        <f t="shared" si="1"/>
        <v/>
      </c>
      <c r="W8" s="19" t="str">
        <f t="shared" si="1"/>
        <v/>
      </c>
      <c r="X8" s="19" t="str">
        <f t="shared" si="1"/>
        <v/>
      </c>
      <c r="Y8" s="19" t="str">
        <f t="shared" si="1"/>
        <v/>
      </c>
      <c r="Z8" s="19" t="str">
        <f t="shared" si="2"/>
        <v/>
      </c>
      <c r="AA8" s="19" t="str">
        <f t="shared" si="2"/>
        <v/>
      </c>
      <c r="AB8" s="19" t="str">
        <f t="shared" si="2"/>
        <v/>
      </c>
      <c r="AC8" s="19" t="str">
        <f t="shared" si="2"/>
        <v/>
      </c>
      <c r="AD8" s="19" t="str">
        <f t="shared" si="2"/>
        <v/>
      </c>
      <c r="AE8" s="19" t="str">
        <f t="shared" si="2"/>
        <v/>
      </c>
      <c r="AF8" s="19" t="str">
        <f t="shared" si="2"/>
        <v/>
      </c>
      <c r="AG8" s="19" t="str">
        <f t="shared" si="2"/>
        <v/>
      </c>
      <c r="AH8" s="19" t="str">
        <f t="shared" si="2"/>
        <v/>
      </c>
      <c r="AI8" s="19" t="str">
        <f t="shared" si="2"/>
        <v/>
      </c>
      <c r="AJ8" s="19" t="str">
        <f t="shared" si="3"/>
        <v/>
      </c>
      <c r="AK8" s="19" t="str">
        <f t="shared" si="3"/>
        <v/>
      </c>
      <c r="AL8" s="19" t="str">
        <f t="shared" si="3"/>
        <v/>
      </c>
      <c r="AM8" s="19" t="str">
        <f t="shared" si="3"/>
        <v/>
      </c>
      <c r="AN8" s="19" t="str">
        <f t="shared" si="3"/>
        <v/>
      </c>
      <c r="AO8" s="19" t="str">
        <f t="shared" si="3"/>
        <v/>
      </c>
      <c r="AP8" s="19" t="str">
        <f t="shared" si="3"/>
        <v/>
      </c>
      <c r="AQ8" s="19" t="str">
        <f t="shared" si="3"/>
        <v/>
      </c>
      <c r="AR8" s="19" t="str">
        <f t="shared" si="3"/>
        <v/>
      </c>
      <c r="AS8" s="19" t="str">
        <f t="shared" si="3"/>
        <v/>
      </c>
      <c r="AT8" s="19" t="str">
        <f t="shared" si="3"/>
        <v/>
      </c>
      <c r="AU8" s="19" t="str">
        <f t="shared" si="3"/>
        <v/>
      </c>
      <c r="AW8">
        <v>1</v>
      </c>
      <c r="AX8">
        <f ca="1">IF(AND(J8&lt;=Hoy!$C$4,K8&gt;=Hoy!$C$4),1,0)</f>
        <v>0</v>
      </c>
      <c r="AY8" t="str">
        <f ca="1">IF(AX8=1,SUM($AX$6:AX8),"")</f>
        <v/>
      </c>
      <c r="AZ8">
        <f ca="1">IF(N8="Vencida",1,0)</f>
        <v>0</v>
      </c>
      <c r="BA8" t="str">
        <f ca="1">IF(AZ8=1,SUM($AZ$6:AZ8),"")</f>
        <v/>
      </c>
    </row>
    <row r="9" spans="1:53" ht="30" customHeight="1" outlineLevel="1" x14ac:dyDescent="0.3">
      <c r="A9" s="13" t="s">
        <v>46</v>
      </c>
      <c r="B9" s="14" t="s">
        <v>31</v>
      </c>
      <c r="C9" s="15" t="s">
        <v>47</v>
      </c>
      <c r="D9" s="13" t="s">
        <v>35</v>
      </c>
      <c r="E9" s="15" t="s">
        <v>48</v>
      </c>
      <c r="F9" s="14" t="s">
        <v>37</v>
      </c>
      <c r="G9" s="15" t="s">
        <v>49</v>
      </c>
      <c r="H9" s="15" t="s">
        <v>50</v>
      </c>
      <c r="I9" s="13" t="s">
        <v>40</v>
      </c>
      <c r="J9" s="16">
        <v>46329</v>
      </c>
      <c r="K9" s="16">
        <v>46332</v>
      </c>
      <c r="L9" s="13">
        <f t="shared" si="0"/>
        <v>4</v>
      </c>
      <c r="M9" s="17" t="s">
        <v>41</v>
      </c>
      <c r="N9" s="13" t="str">
        <f ca="1">IF(M9="Finalizado","",IF(K9&lt;Hoy!$C$4,"Vencida",IF(AND(J9&lt;=Hoy!$C$4,M9="No iniciado"),"Sin iniciar","")))</f>
        <v/>
      </c>
      <c r="O9" s="18"/>
      <c r="P9" s="19" t="str">
        <f t="shared" si="1"/>
        <v/>
      </c>
      <c r="Q9" s="19" t="str">
        <f t="shared" si="1"/>
        <v/>
      </c>
      <c r="R9" s="19" t="str">
        <f t="shared" si="1"/>
        <v/>
      </c>
      <c r="S9" s="19" t="str">
        <f t="shared" si="1"/>
        <v/>
      </c>
      <c r="T9" s="19" t="str">
        <f t="shared" si="1"/>
        <v/>
      </c>
      <c r="U9" s="19" t="str">
        <f t="shared" si="1"/>
        <v/>
      </c>
      <c r="V9" s="19" t="str">
        <f t="shared" si="1"/>
        <v/>
      </c>
      <c r="W9" s="19" t="str">
        <f t="shared" si="1"/>
        <v/>
      </c>
      <c r="X9" s="19" t="str">
        <f t="shared" si="1"/>
        <v/>
      </c>
      <c r="Y9" s="19" t="str">
        <f t="shared" si="1"/>
        <v/>
      </c>
      <c r="Z9" s="19" t="str">
        <f t="shared" si="2"/>
        <v/>
      </c>
      <c r="AA9" s="19" t="str">
        <f t="shared" si="2"/>
        <v/>
      </c>
      <c r="AB9" s="19" t="str">
        <f t="shared" si="2"/>
        <v/>
      </c>
      <c r="AC9" s="19" t="str">
        <f t="shared" si="2"/>
        <v/>
      </c>
      <c r="AD9" s="19" t="str">
        <f t="shared" si="2"/>
        <v/>
      </c>
      <c r="AE9" s="19" t="str">
        <f t="shared" si="2"/>
        <v/>
      </c>
      <c r="AF9" s="19" t="str">
        <f t="shared" si="2"/>
        <v/>
      </c>
      <c r="AG9" s="19" t="str">
        <f t="shared" si="2"/>
        <v/>
      </c>
      <c r="AH9" s="19" t="str">
        <f t="shared" si="2"/>
        <v/>
      </c>
      <c r="AI9" s="19" t="str">
        <f t="shared" si="2"/>
        <v/>
      </c>
      <c r="AJ9" s="19" t="str">
        <f t="shared" si="3"/>
        <v/>
      </c>
      <c r="AK9" s="19" t="str">
        <f t="shared" si="3"/>
        <v/>
      </c>
      <c r="AL9" s="19" t="str">
        <f t="shared" si="3"/>
        <v/>
      </c>
      <c r="AM9" s="19" t="str">
        <f t="shared" si="3"/>
        <v/>
      </c>
      <c r="AN9" s="19" t="str">
        <f t="shared" si="3"/>
        <v/>
      </c>
      <c r="AO9" s="19" t="str">
        <f t="shared" si="3"/>
        <v/>
      </c>
      <c r="AP9" s="19" t="str">
        <f t="shared" si="3"/>
        <v/>
      </c>
      <c r="AQ9" s="19" t="str">
        <f t="shared" si="3"/>
        <v/>
      </c>
      <c r="AR9" s="19" t="str">
        <f t="shared" si="3"/>
        <v/>
      </c>
      <c r="AS9" s="19" t="str">
        <f t="shared" si="3"/>
        <v/>
      </c>
      <c r="AT9" s="19" t="str">
        <f t="shared" si="3"/>
        <v/>
      </c>
      <c r="AU9" s="19" t="str">
        <f t="shared" si="3"/>
        <v/>
      </c>
      <c r="AW9">
        <v>1</v>
      </c>
      <c r="AX9">
        <f ca="1">IF(AND(J9&lt;=Hoy!$C$4,K9&gt;=Hoy!$C$4),1,0)</f>
        <v>0</v>
      </c>
      <c r="AY9" t="str">
        <f ca="1">IF(AX9=1,SUM($AX$6:AX9),"")</f>
        <v/>
      </c>
      <c r="AZ9">
        <f ca="1">IF(N9="Vencida",1,0)</f>
        <v>0</v>
      </c>
      <c r="BA9" t="str">
        <f ca="1">IF(AZ9=1,SUM($AZ$6:AZ9),"")</f>
        <v/>
      </c>
    </row>
    <row r="10" spans="1:53" ht="30" customHeight="1" outlineLevel="1" x14ac:dyDescent="0.3">
      <c r="A10" s="13" t="s">
        <v>51</v>
      </c>
      <c r="B10" s="14" t="s">
        <v>31</v>
      </c>
      <c r="C10" s="15" t="s">
        <v>52</v>
      </c>
      <c r="D10" s="13" t="s">
        <v>35</v>
      </c>
      <c r="E10" s="15" t="s">
        <v>53</v>
      </c>
      <c r="F10" s="14" t="s">
        <v>37</v>
      </c>
      <c r="G10" s="15" t="s">
        <v>49</v>
      </c>
      <c r="H10" s="15" t="s">
        <v>50</v>
      </c>
      <c r="I10" s="13" t="s">
        <v>40</v>
      </c>
      <c r="J10" s="16">
        <v>46335</v>
      </c>
      <c r="K10" s="16">
        <v>46338</v>
      </c>
      <c r="L10" s="13">
        <f t="shared" si="0"/>
        <v>4</v>
      </c>
      <c r="M10" s="17" t="s">
        <v>41</v>
      </c>
      <c r="N10" s="13" t="str">
        <f ca="1">IF(M10="Finalizado","",IF(K10&lt;Hoy!$C$4,"Vencida",IF(AND(J10&lt;=Hoy!$C$4,M10="No iniciado"),"Sin iniciar","")))</f>
        <v/>
      </c>
      <c r="O10" s="18"/>
      <c r="P10" s="19" t="str">
        <f t="shared" si="1"/>
        <v/>
      </c>
      <c r="Q10" s="19" t="str">
        <f t="shared" si="1"/>
        <v/>
      </c>
      <c r="R10" s="19" t="str">
        <f t="shared" si="1"/>
        <v/>
      </c>
      <c r="S10" s="19" t="str">
        <f t="shared" si="1"/>
        <v/>
      </c>
      <c r="T10" s="19" t="str">
        <f t="shared" si="1"/>
        <v/>
      </c>
      <c r="U10" s="19" t="str">
        <f t="shared" si="1"/>
        <v/>
      </c>
      <c r="V10" s="19" t="str">
        <f t="shared" si="1"/>
        <v/>
      </c>
      <c r="W10" s="19" t="str">
        <f t="shared" si="1"/>
        <v/>
      </c>
      <c r="X10" s="19" t="str">
        <f t="shared" si="1"/>
        <v/>
      </c>
      <c r="Y10" s="19" t="str">
        <f t="shared" si="1"/>
        <v/>
      </c>
      <c r="Z10" s="19" t="str">
        <f t="shared" si="2"/>
        <v/>
      </c>
      <c r="AA10" s="19" t="str">
        <f t="shared" si="2"/>
        <v/>
      </c>
      <c r="AB10" s="19" t="str">
        <f t="shared" si="2"/>
        <v/>
      </c>
      <c r="AC10" s="19" t="str">
        <f t="shared" si="2"/>
        <v/>
      </c>
      <c r="AD10" s="19" t="str">
        <f t="shared" si="2"/>
        <v/>
      </c>
      <c r="AE10" s="19" t="str">
        <f t="shared" si="2"/>
        <v/>
      </c>
      <c r="AF10" s="19" t="str">
        <f t="shared" si="2"/>
        <v/>
      </c>
      <c r="AG10" s="19" t="str">
        <f t="shared" si="2"/>
        <v/>
      </c>
      <c r="AH10" s="19" t="str">
        <f t="shared" si="2"/>
        <v/>
      </c>
      <c r="AI10" s="19" t="str">
        <f t="shared" si="2"/>
        <v/>
      </c>
      <c r="AJ10" s="19" t="str">
        <f t="shared" si="3"/>
        <v/>
      </c>
      <c r="AK10" s="19" t="str">
        <f t="shared" si="3"/>
        <v/>
      </c>
      <c r="AL10" s="19" t="str">
        <f t="shared" si="3"/>
        <v/>
      </c>
      <c r="AM10" s="19" t="str">
        <f t="shared" si="3"/>
        <v/>
      </c>
      <c r="AN10" s="19" t="str">
        <f t="shared" si="3"/>
        <v/>
      </c>
      <c r="AO10" s="19" t="str">
        <f t="shared" si="3"/>
        <v/>
      </c>
      <c r="AP10" s="19" t="str">
        <f t="shared" si="3"/>
        <v/>
      </c>
      <c r="AQ10" s="19" t="str">
        <f t="shared" si="3"/>
        <v/>
      </c>
      <c r="AR10" s="19" t="str">
        <f t="shared" si="3"/>
        <v/>
      </c>
      <c r="AS10" s="19" t="str">
        <f t="shared" si="3"/>
        <v/>
      </c>
      <c r="AT10" s="19" t="str">
        <f t="shared" si="3"/>
        <v/>
      </c>
      <c r="AU10" s="19" t="str">
        <f t="shared" si="3"/>
        <v/>
      </c>
      <c r="AW10">
        <v>1</v>
      </c>
      <c r="AX10">
        <f ca="1">IF(AND(J10&lt;=Hoy!$C$4,K10&gt;=Hoy!$C$4),1,0)</f>
        <v>0</v>
      </c>
      <c r="AY10" t="str">
        <f ca="1">IF(AX10=1,SUM($AX$6:AX10),"")</f>
        <v/>
      </c>
      <c r="AZ10">
        <f ca="1">IF(N10="Vencida",1,0)</f>
        <v>0</v>
      </c>
      <c r="BA10" t="str">
        <f ca="1">IF(AZ10=1,SUM($AZ$6:AZ10),"")</f>
        <v/>
      </c>
    </row>
    <row r="11" spans="1:53" ht="30" customHeight="1" outlineLevel="1" x14ac:dyDescent="0.3">
      <c r="A11" s="13" t="s">
        <v>54</v>
      </c>
      <c r="B11" s="14" t="s">
        <v>31</v>
      </c>
      <c r="C11" s="15" t="s">
        <v>55</v>
      </c>
      <c r="D11" s="13" t="s">
        <v>35</v>
      </c>
      <c r="E11" s="15" t="s">
        <v>56</v>
      </c>
      <c r="F11" s="14" t="s">
        <v>37</v>
      </c>
      <c r="G11" s="15" t="s">
        <v>57</v>
      </c>
      <c r="H11" s="15" t="s">
        <v>38</v>
      </c>
      <c r="I11" s="13" t="s">
        <v>40</v>
      </c>
      <c r="J11" s="16">
        <v>46341</v>
      </c>
      <c r="K11" s="16">
        <v>46346</v>
      </c>
      <c r="L11" s="13">
        <f t="shared" si="0"/>
        <v>6</v>
      </c>
      <c r="M11" s="17" t="s">
        <v>41</v>
      </c>
      <c r="N11" s="13" t="str">
        <f ca="1">IF(M11="Finalizado","",IF(K11&lt;Hoy!$C$4,"Vencida",IF(AND(J11&lt;=Hoy!$C$4,M11="No iniciado"),"Sin iniciar","")))</f>
        <v/>
      </c>
      <c r="O11" s="18"/>
      <c r="P11" s="19" t="str">
        <f t="shared" si="1"/>
        <v/>
      </c>
      <c r="Q11" s="19" t="str">
        <f t="shared" si="1"/>
        <v/>
      </c>
      <c r="R11" s="19" t="str">
        <f t="shared" si="1"/>
        <v/>
      </c>
      <c r="S11" s="19" t="str">
        <f t="shared" si="1"/>
        <v/>
      </c>
      <c r="T11" s="19" t="str">
        <f t="shared" si="1"/>
        <v/>
      </c>
      <c r="U11" s="19" t="str">
        <f t="shared" si="1"/>
        <v/>
      </c>
      <c r="V11" s="19" t="str">
        <f t="shared" si="1"/>
        <v/>
      </c>
      <c r="W11" s="19" t="str">
        <f t="shared" si="1"/>
        <v/>
      </c>
      <c r="X11" s="19" t="str">
        <f t="shared" si="1"/>
        <v/>
      </c>
      <c r="Y11" s="19" t="str">
        <f t="shared" si="1"/>
        <v/>
      </c>
      <c r="Z11" s="19" t="str">
        <f t="shared" si="2"/>
        <v/>
      </c>
      <c r="AA11" s="19" t="str">
        <f t="shared" si="2"/>
        <v/>
      </c>
      <c r="AB11" s="19" t="str">
        <f t="shared" si="2"/>
        <v/>
      </c>
      <c r="AC11" s="19" t="str">
        <f t="shared" si="2"/>
        <v/>
      </c>
      <c r="AD11" s="19" t="str">
        <f t="shared" si="2"/>
        <v/>
      </c>
      <c r="AE11" s="19" t="str">
        <f t="shared" si="2"/>
        <v/>
      </c>
      <c r="AF11" s="19" t="str">
        <f t="shared" si="2"/>
        <v/>
      </c>
      <c r="AG11" s="19" t="str">
        <f t="shared" si="2"/>
        <v/>
      </c>
      <c r="AH11" s="19" t="str">
        <f t="shared" si="2"/>
        <v/>
      </c>
      <c r="AI11" s="19" t="str">
        <f t="shared" si="2"/>
        <v/>
      </c>
      <c r="AJ11" s="19" t="str">
        <f t="shared" si="3"/>
        <v/>
      </c>
      <c r="AK11" s="19" t="str">
        <f t="shared" si="3"/>
        <v/>
      </c>
      <c r="AL11" s="19" t="str">
        <f t="shared" si="3"/>
        <v/>
      </c>
      <c r="AM11" s="19" t="str">
        <f t="shared" si="3"/>
        <v/>
      </c>
      <c r="AN11" s="19" t="str">
        <f t="shared" si="3"/>
        <v/>
      </c>
      <c r="AO11" s="19" t="str">
        <f t="shared" si="3"/>
        <v/>
      </c>
      <c r="AP11" s="19" t="str">
        <f t="shared" si="3"/>
        <v/>
      </c>
      <c r="AQ11" s="19" t="str">
        <f t="shared" si="3"/>
        <v/>
      </c>
      <c r="AR11" s="19" t="str">
        <f t="shared" si="3"/>
        <v/>
      </c>
      <c r="AS11" s="19" t="str">
        <f t="shared" si="3"/>
        <v/>
      </c>
      <c r="AT11" s="19" t="str">
        <f t="shared" si="3"/>
        <v/>
      </c>
      <c r="AU11" s="19" t="str">
        <f t="shared" si="3"/>
        <v/>
      </c>
      <c r="AW11">
        <v>1</v>
      </c>
      <c r="AX11">
        <f ca="1">IF(AND(J11&lt;=Hoy!$C$4,K11&gt;=Hoy!$C$4),1,0)</f>
        <v>0</v>
      </c>
      <c r="AY11" t="str">
        <f ca="1">IF(AX11=1,SUM($AX$6:AX11),"")</f>
        <v/>
      </c>
      <c r="AZ11">
        <f ca="1">IF(N11="Vencida",1,0)</f>
        <v>0</v>
      </c>
      <c r="BA11" t="str">
        <f ca="1">IF(AZ11=1,SUM($AZ$6:AZ11),"")</f>
        <v/>
      </c>
    </row>
    <row r="12" spans="1:53" ht="18" customHeight="1" x14ac:dyDescent="0.3">
      <c r="A12" s="9" t="s">
        <v>58</v>
      </c>
      <c r="B12" s="10" t="s">
        <v>59</v>
      </c>
      <c r="C12" s="10" t="s">
        <v>60</v>
      </c>
      <c r="D12" s="9" t="s">
        <v>11</v>
      </c>
      <c r="E12" s="10"/>
      <c r="F12" s="9"/>
      <c r="G12" s="10"/>
      <c r="H12" s="10"/>
      <c r="I12" s="9"/>
      <c r="J12" s="11">
        <f>MIN(J13:J15)</f>
        <v>46321</v>
      </c>
      <c r="K12" s="11">
        <f>MAX(K13:K15)</f>
        <v>46325</v>
      </c>
      <c r="L12" s="9">
        <f t="shared" si="0"/>
        <v>5</v>
      </c>
      <c r="M12" s="9" t="str">
        <f ca="1">IF(COUNTIF(M13:M15,"Finalizado")=ROWS(M13:M15),"Finalizado",IF(OR(COUNTIF(M13:M15,"Demorado")&gt;0,COUNTIF(N13:N15,"Vencida")&gt;0),"Demorado",IF(COUNTIF(M13:M15,"En curso")+COUNTIF(M13:M15,"Finalizado")&gt;0,"En curso","No iniciado")))</f>
        <v>En curso</v>
      </c>
      <c r="N12" s="9" t="str">
        <f ca="1">IF(COUNTIF(N13:N15,"Vencida")&gt;0,COUNTIF(N13:N15,"Vencida")&amp;" vencida(s)","")</f>
        <v/>
      </c>
      <c r="O12" s="10" t="str">
        <f>COUNTIF(M13:M15,"Finalizado")&amp;" de "&amp;ROWS(M13:M15)&amp;" finalizadas"</f>
        <v>0 de 3 finalizadas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W12">
        <v>0</v>
      </c>
    </row>
    <row r="13" spans="1:53" ht="30" customHeight="1" outlineLevel="1" x14ac:dyDescent="0.3">
      <c r="A13" s="13" t="s">
        <v>61</v>
      </c>
      <c r="B13" s="14" t="s">
        <v>59</v>
      </c>
      <c r="C13" s="15" t="s">
        <v>62</v>
      </c>
      <c r="D13" s="13" t="s">
        <v>35</v>
      </c>
      <c r="E13" s="15" t="s">
        <v>63</v>
      </c>
      <c r="F13" s="14" t="s">
        <v>64</v>
      </c>
      <c r="G13" s="15" t="s">
        <v>65</v>
      </c>
      <c r="H13" s="15" t="s">
        <v>66</v>
      </c>
      <c r="I13" s="13" t="s">
        <v>67</v>
      </c>
      <c r="J13" s="16">
        <v>46321</v>
      </c>
      <c r="K13" s="16">
        <v>46325</v>
      </c>
      <c r="L13" s="13">
        <f t="shared" si="0"/>
        <v>5</v>
      </c>
      <c r="M13" s="17" t="s">
        <v>68</v>
      </c>
      <c r="N13" s="13" t="str">
        <f ca="1">IF(M13="Finalizado","",IF(K13&lt;Hoy!$C$4,"Vencida",IF(AND(J13&lt;=Hoy!$C$4,M13="No iniciado"),"Sin iniciar","")))</f>
        <v/>
      </c>
      <c r="O13" s="18"/>
      <c r="P13" s="19" t="str">
        <f t="shared" ref="P13:Y15" si="4">IF(AND($D13="Hito",P$5=$J13),"◆","")</f>
        <v/>
      </c>
      <c r="Q13" s="19" t="str">
        <f t="shared" si="4"/>
        <v/>
      </c>
      <c r="R13" s="19" t="str">
        <f t="shared" si="4"/>
        <v/>
      </c>
      <c r="S13" s="19" t="str">
        <f t="shared" si="4"/>
        <v/>
      </c>
      <c r="T13" s="19" t="str">
        <f t="shared" si="4"/>
        <v/>
      </c>
      <c r="U13" s="19" t="str">
        <f t="shared" si="4"/>
        <v/>
      </c>
      <c r="V13" s="19" t="str">
        <f t="shared" si="4"/>
        <v/>
      </c>
      <c r="W13" s="19" t="str">
        <f t="shared" si="4"/>
        <v/>
      </c>
      <c r="X13" s="19" t="str">
        <f t="shared" si="4"/>
        <v/>
      </c>
      <c r="Y13" s="19" t="str">
        <f t="shared" si="4"/>
        <v/>
      </c>
      <c r="Z13" s="19" t="str">
        <f t="shared" ref="Z13:AI15" si="5">IF(AND($D13="Hito",Z$5=$J13),"◆","")</f>
        <v/>
      </c>
      <c r="AA13" s="19" t="str">
        <f t="shared" si="5"/>
        <v/>
      </c>
      <c r="AB13" s="19" t="str">
        <f t="shared" si="5"/>
        <v/>
      </c>
      <c r="AC13" s="19" t="str">
        <f t="shared" si="5"/>
        <v/>
      </c>
      <c r="AD13" s="19" t="str">
        <f t="shared" si="5"/>
        <v/>
      </c>
      <c r="AE13" s="19" t="str">
        <f t="shared" si="5"/>
        <v/>
      </c>
      <c r="AF13" s="19" t="str">
        <f t="shared" si="5"/>
        <v/>
      </c>
      <c r="AG13" s="19" t="str">
        <f t="shared" si="5"/>
        <v/>
      </c>
      <c r="AH13" s="19" t="str">
        <f t="shared" si="5"/>
        <v/>
      </c>
      <c r="AI13" s="19" t="str">
        <f t="shared" si="5"/>
        <v/>
      </c>
      <c r="AJ13" s="19" t="str">
        <f t="shared" ref="AJ13:AU15" si="6">IF(AND($D13="Hito",AJ$5=$J13),"◆","")</f>
        <v/>
      </c>
      <c r="AK13" s="19" t="str">
        <f t="shared" si="6"/>
        <v/>
      </c>
      <c r="AL13" s="19" t="str">
        <f t="shared" si="6"/>
        <v/>
      </c>
      <c r="AM13" s="19" t="str">
        <f t="shared" si="6"/>
        <v/>
      </c>
      <c r="AN13" s="19" t="str">
        <f t="shared" si="6"/>
        <v/>
      </c>
      <c r="AO13" s="19" t="str">
        <f t="shared" si="6"/>
        <v/>
      </c>
      <c r="AP13" s="19" t="str">
        <f t="shared" si="6"/>
        <v/>
      </c>
      <c r="AQ13" s="19" t="str">
        <f t="shared" si="6"/>
        <v/>
      </c>
      <c r="AR13" s="19" t="str">
        <f t="shared" si="6"/>
        <v/>
      </c>
      <c r="AS13" s="19" t="str">
        <f t="shared" si="6"/>
        <v/>
      </c>
      <c r="AT13" s="19" t="str">
        <f t="shared" si="6"/>
        <v/>
      </c>
      <c r="AU13" s="19" t="str">
        <f t="shared" si="6"/>
        <v/>
      </c>
      <c r="AW13">
        <v>1</v>
      </c>
      <c r="AX13">
        <f ca="1">IF(AND(J13&lt;=Hoy!$C$4,K13&gt;=Hoy!$C$4),1,0)</f>
        <v>1</v>
      </c>
      <c r="AY13">
        <f ca="1">IF(AX13=1,SUM($AX$6:AX13),"")</f>
        <v>1</v>
      </c>
      <c r="AZ13">
        <f ca="1">IF(N13="Vencida",1,0)</f>
        <v>0</v>
      </c>
      <c r="BA13" t="str">
        <f ca="1">IF(AZ13=1,SUM($AZ$6:AZ13),"")</f>
        <v/>
      </c>
    </row>
    <row r="14" spans="1:53" ht="30" customHeight="1" outlineLevel="1" x14ac:dyDescent="0.3">
      <c r="A14" s="13" t="s">
        <v>69</v>
      </c>
      <c r="B14" s="14" t="s">
        <v>59</v>
      </c>
      <c r="C14" s="15" t="s">
        <v>70</v>
      </c>
      <c r="D14" s="13" t="s">
        <v>35</v>
      </c>
      <c r="E14" s="15" t="s">
        <v>71</v>
      </c>
      <c r="F14" s="14" t="s">
        <v>72</v>
      </c>
      <c r="G14" s="15" t="s">
        <v>65</v>
      </c>
      <c r="H14" s="15" t="s">
        <v>73</v>
      </c>
      <c r="I14" s="13" t="s">
        <v>67</v>
      </c>
      <c r="J14" s="16">
        <v>46321</v>
      </c>
      <c r="K14" s="16">
        <v>46325</v>
      </c>
      <c r="L14" s="13">
        <f t="shared" si="0"/>
        <v>5</v>
      </c>
      <c r="M14" s="17" t="s">
        <v>68</v>
      </c>
      <c r="N14" s="13" t="str">
        <f ca="1">IF(M14="Finalizado","",IF(K14&lt;Hoy!$C$4,"Vencida",IF(AND(J14&lt;=Hoy!$C$4,M14="No iniciado"),"Sin iniciar","")))</f>
        <v/>
      </c>
      <c r="O14" s="18"/>
      <c r="P14" s="19" t="str">
        <f t="shared" si="4"/>
        <v/>
      </c>
      <c r="Q14" s="19" t="str">
        <f t="shared" si="4"/>
        <v/>
      </c>
      <c r="R14" s="19" t="str">
        <f t="shared" si="4"/>
        <v/>
      </c>
      <c r="S14" s="19" t="str">
        <f t="shared" si="4"/>
        <v/>
      </c>
      <c r="T14" s="19" t="str">
        <f t="shared" si="4"/>
        <v/>
      </c>
      <c r="U14" s="19" t="str">
        <f t="shared" si="4"/>
        <v/>
      </c>
      <c r="V14" s="19" t="str">
        <f t="shared" si="4"/>
        <v/>
      </c>
      <c r="W14" s="19" t="str">
        <f t="shared" si="4"/>
        <v/>
      </c>
      <c r="X14" s="19" t="str">
        <f t="shared" si="4"/>
        <v/>
      </c>
      <c r="Y14" s="19" t="str">
        <f t="shared" si="4"/>
        <v/>
      </c>
      <c r="Z14" s="19" t="str">
        <f t="shared" si="5"/>
        <v/>
      </c>
      <c r="AA14" s="19" t="str">
        <f t="shared" si="5"/>
        <v/>
      </c>
      <c r="AB14" s="19" t="str">
        <f t="shared" si="5"/>
        <v/>
      </c>
      <c r="AC14" s="19" t="str">
        <f t="shared" si="5"/>
        <v/>
      </c>
      <c r="AD14" s="19" t="str">
        <f t="shared" si="5"/>
        <v/>
      </c>
      <c r="AE14" s="19" t="str">
        <f t="shared" si="5"/>
        <v/>
      </c>
      <c r="AF14" s="19" t="str">
        <f t="shared" si="5"/>
        <v/>
      </c>
      <c r="AG14" s="19" t="str">
        <f t="shared" si="5"/>
        <v/>
      </c>
      <c r="AH14" s="19" t="str">
        <f t="shared" si="5"/>
        <v/>
      </c>
      <c r="AI14" s="19" t="str">
        <f t="shared" si="5"/>
        <v/>
      </c>
      <c r="AJ14" s="19" t="str">
        <f t="shared" si="6"/>
        <v/>
      </c>
      <c r="AK14" s="19" t="str">
        <f t="shared" si="6"/>
        <v/>
      </c>
      <c r="AL14" s="19" t="str">
        <f t="shared" si="6"/>
        <v/>
      </c>
      <c r="AM14" s="19" t="str">
        <f t="shared" si="6"/>
        <v/>
      </c>
      <c r="AN14" s="19" t="str">
        <f t="shared" si="6"/>
        <v/>
      </c>
      <c r="AO14" s="19" t="str">
        <f t="shared" si="6"/>
        <v/>
      </c>
      <c r="AP14" s="19" t="str">
        <f t="shared" si="6"/>
        <v/>
      </c>
      <c r="AQ14" s="19" t="str">
        <f t="shared" si="6"/>
        <v/>
      </c>
      <c r="AR14" s="19" t="str">
        <f t="shared" si="6"/>
        <v/>
      </c>
      <c r="AS14" s="19" t="str">
        <f t="shared" si="6"/>
        <v/>
      </c>
      <c r="AT14" s="19" t="str">
        <f t="shared" si="6"/>
        <v/>
      </c>
      <c r="AU14" s="19" t="str">
        <f t="shared" si="6"/>
        <v/>
      </c>
      <c r="AW14">
        <v>1</v>
      </c>
      <c r="AX14">
        <f ca="1">IF(AND(J14&lt;=Hoy!$C$4,K14&gt;=Hoy!$C$4),1,0)</f>
        <v>1</v>
      </c>
      <c r="AY14">
        <f ca="1">IF(AX14=1,SUM($AX$6:AX14),"")</f>
        <v>2</v>
      </c>
      <c r="AZ14">
        <f ca="1">IF(N14="Vencida",1,0)</f>
        <v>0</v>
      </c>
      <c r="BA14" t="str">
        <f ca="1">IF(AZ14=1,SUM($AZ$6:AZ14),"")</f>
        <v/>
      </c>
    </row>
    <row r="15" spans="1:53" ht="30" customHeight="1" outlineLevel="1" x14ac:dyDescent="0.3">
      <c r="A15" s="13" t="s">
        <v>76</v>
      </c>
      <c r="B15" s="14" t="s">
        <v>59</v>
      </c>
      <c r="C15" s="20" t="s">
        <v>77</v>
      </c>
      <c r="D15" s="13" t="s">
        <v>78</v>
      </c>
      <c r="E15" s="15" t="s">
        <v>79</v>
      </c>
      <c r="F15" s="14" t="s">
        <v>64</v>
      </c>
      <c r="G15" s="15" t="s">
        <v>65</v>
      </c>
      <c r="H15" s="15" t="s">
        <v>80</v>
      </c>
      <c r="I15" s="13" t="s">
        <v>67</v>
      </c>
      <c r="J15" s="16">
        <v>46325</v>
      </c>
      <c r="K15" s="16">
        <v>46325</v>
      </c>
      <c r="L15" s="13">
        <f t="shared" si="0"/>
        <v>1</v>
      </c>
      <c r="M15" s="17" t="s">
        <v>41</v>
      </c>
      <c r="N15" s="13" t="str">
        <f ca="1">IF(M15="Finalizado","",IF(K15&lt;Hoy!$C$4,"Vencida",IF(AND(J15&lt;=Hoy!$C$4,M15="No iniciado"),"Sin iniciar","")))</f>
        <v/>
      </c>
      <c r="O15" s="18"/>
      <c r="P15" s="19" t="str">
        <f t="shared" si="4"/>
        <v/>
      </c>
      <c r="Q15" s="19" t="str">
        <f t="shared" si="4"/>
        <v/>
      </c>
      <c r="R15" s="19" t="str">
        <f t="shared" si="4"/>
        <v/>
      </c>
      <c r="S15" s="19" t="str">
        <f t="shared" si="4"/>
        <v/>
      </c>
      <c r="T15" s="19" t="str">
        <f t="shared" si="4"/>
        <v/>
      </c>
      <c r="U15" s="19" t="str">
        <f t="shared" si="4"/>
        <v/>
      </c>
      <c r="V15" s="19" t="str">
        <f t="shared" si="4"/>
        <v/>
      </c>
      <c r="W15" s="19" t="str">
        <f t="shared" si="4"/>
        <v/>
      </c>
      <c r="X15" s="19" t="str">
        <f t="shared" si="4"/>
        <v/>
      </c>
      <c r="Y15" s="19" t="str">
        <f t="shared" si="4"/>
        <v/>
      </c>
      <c r="Z15" s="19" t="str">
        <f t="shared" si="5"/>
        <v>◆</v>
      </c>
      <c r="AA15" s="19" t="str">
        <f t="shared" si="5"/>
        <v/>
      </c>
      <c r="AB15" s="19" t="str">
        <f t="shared" si="5"/>
        <v/>
      </c>
      <c r="AC15" s="19" t="str">
        <f t="shared" si="5"/>
        <v/>
      </c>
      <c r="AD15" s="19" t="str">
        <f t="shared" si="5"/>
        <v/>
      </c>
      <c r="AE15" s="19" t="str">
        <f t="shared" si="5"/>
        <v/>
      </c>
      <c r="AF15" s="19" t="str">
        <f t="shared" si="5"/>
        <v/>
      </c>
      <c r="AG15" s="19" t="str">
        <f t="shared" si="5"/>
        <v/>
      </c>
      <c r="AH15" s="19" t="str">
        <f t="shared" si="5"/>
        <v/>
      </c>
      <c r="AI15" s="19" t="str">
        <f t="shared" si="5"/>
        <v/>
      </c>
      <c r="AJ15" s="19" t="str">
        <f t="shared" si="6"/>
        <v/>
      </c>
      <c r="AK15" s="19" t="str">
        <f t="shared" si="6"/>
        <v/>
      </c>
      <c r="AL15" s="19" t="str">
        <f t="shared" si="6"/>
        <v/>
      </c>
      <c r="AM15" s="19" t="str">
        <f t="shared" si="6"/>
        <v/>
      </c>
      <c r="AN15" s="19" t="str">
        <f t="shared" si="6"/>
        <v/>
      </c>
      <c r="AO15" s="19" t="str">
        <f t="shared" si="6"/>
        <v/>
      </c>
      <c r="AP15" s="19" t="str">
        <f t="shared" si="6"/>
        <v/>
      </c>
      <c r="AQ15" s="19" t="str">
        <f t="shared" si="6"/>
        <v/>
      </c>
      <c r="AR15" s="19" t="str">
        <f t="shared" si="6"/>
        <v/>
      </c>
      <c r="AS15" s="19" t="str">
        <f t="shared" si="6"/>
        <v/>
      </c>
      <c r="AT15" s="19" t="str">
        <f t="shared" si="6"/>
        <v/>
      </c>
      <c r="AU15" s="19" t="str">
        <f t="shared" si="6"/>
        <v/>
      </c>
      <c r="AW15">
        <v>1</v>
      </c>
      <c r="AX15">
        <f ca="1">IF(AND(J15&lt;=Hoy!$C$4,K15&gt;=Hoy!$C$4),1,0)</f>
        <v>0</v>
      </c>
      <c r="AY15" t="str">
        <f ca="1">IF(AX15=1,SUM($AX$6:AX15),"")</f>
        <v/>
      </c>
      <c r="AZ15">
        <f ca="1">IF(N15="Vencida",1,0)</f>
        <v>0</v>
      </c>
      <c r="BA15" t="str">
        <f ca="1">IF(AZ15=1,SUM($AZ$6:AZ15),"")</f>
        <v/>
      </c>
    </row>
    <row r="16" spans="1:53" ht="18" customHeight="1" x14ac:dyDescent="0.3">
      <c r="A16" s="9" t="s">
        <v>81</v>
      </c>
      <c r="B16" s="10" t="s">
        <v>82</v>
      </c>
      <c r="C16" s="10" t="s">
        <v>83</v>
      </c>
      <c r="D16" s="9" t="s">
        <v>11</v>
      </c>
      <c r="E16" s="10"/>
      <c r="F16" s="9"/>
      <c r="G16" s="10"/>
      <c r="H16" s="10"/>
      <c r="I16" s="9"/>
      <c r="J16" s="11">
        <f>MIN(J17:J20)</f>
        <v>46324</v>
      </c>
      <c r="K16" s="11">
        <f>MAX(K17:K20)</f>
        <v>46328</v>
      </c>
      <c r="L16" s="9">
        <f t="shared" si="0"/>
        <v>5</v>
      </c>
      <c r="M16" s="9" t="str">
        <f ca="1">IF(COUNTIF(M17:M20,"Finalizado")=ROWS(M17:M20),"Finalizado",IF(OR(COUNTIF(M17:M20,"Demorado")&gt;0,COUNTIF(N17:N20,"Vencida")&gt;0),"Demorado",IF(COUNTIF(M17:M20,"En curso")+COUNTIF(M17:M20,"Finalizado")&gt;0,"En curso","No iniciado")))</f>
        <v>En curso</v>
      </c>
      <c r="N16" s="9" t="str">
        <f ca="1">IF(COUNTIF(N17:N20,"Vencida")&gt;0,COUNTIF(N17:N20,"Vencida")&amp;" vencida(s)","")</f>
        <v/>
      </c>
      <c r="O16" s="10" t="str">
        <f>COUNTIF(M17:M20,"Finalizado")&amp;" de "&amp;ROWS(M17:M20)&amp;" finalizadas"</f>
        <v>0 de 4 finalizadas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W16">
        <v>0</v>
      </c>
    </row>
    <row r="17" spans="1:53" ht="30" customHeight="1" outlineLevel="1" x14ac:dyDescent="0.3">
      <c r="A17" s="13" t="s">
        <v>84</v>
      </c>
      <c r="B17" s="14" t="s">
        <v>82</v>
      </c>
      <c r="C17" s="15" t="s">
        <v>85</v>
      </c>
      <c r="D17" s="13" t="s">
        <v>35</v>
      </c>
      <c r="E17" s="15" t="s">
        <v>86</v>
      </c>
      <c r="F17" s="14" t="s">
        <v>87</v>
      </c>
      <c r="G17" s="15" t="s">
        <v>50</v>
      </c>
      <c r="H17" s="15" t="s">
        <v>88</v>
      </c>
      <c r="I17" s="13" t="s">
        <v>67</v>
      </c>
      <c r="J17" s="16">
        <v>46324</v>
      </c>
      <c r="K17" s="16">
        <v>46325</v>
      </c>
      <c r="L17" s="13">
        <f t="shared" si="0"/>
        <v>2</v>
      </c>
      <c r="M17" s="17" t="s">
        <v>41</v>
      </c>
      <c r="N17" s="13" t="str">
        <f ca="1">IF(M17="Finalizado","",IF(K17&lt;Hoy!$C$4,"Vencida",IF(AND(J17&lt;=Hoy!$C$4,M17="No iniciado"),"Sin iniciar","")))</f>
        <v/>
      </c>
      <c r="O17" s="18"/>
      <c r="P17" s="19" t="str">
        <f t="shared" ref="P17:Y20" si="7">IF(AND($D17="Hito",P$5=$J17),"◆","")</f>
        <v/>
      </c>
      <c r="Q17" s="19" t="str">
        <f t="shared" si="7"/>
        <v/>
      </c>
      <c r="R17" s="19" t="str">
        <f t="shared" si="7"/>
        <v/>
      </c>
      <c r="S17" s="19" t="str">
        <f t="shared" si="7"/>
        <v/>
      </c>
      <c r="T17" s="19" t="str">
        <f t="shared" si="7"/>
        <v/>
      </c>
      <c r="U17" s="19" t="str">
        <f t="shared" si="7"/>
        <v/>
      </c>
      <c r="V17" s="19" t="str">
        <f t="shared" si="7"/>
        <v/>
      </c>
      <c r="W17" s="19" t="str">
        <f t="shared" si="7"/>
        <v/>
      </c>
      <c r="X17" s="19" t="str">
        <f t="shared" si="7"/>
        <v/>
      </c>
      <c r="Y17" s="19" t="str">
        <f t="shared" si="7"/>
        <v/>
      </c>
      <c r="Z17" s="19" t="str">
        <f t="shared" ref="Z17:AI20" si="8">IF(AND($D17="Hito",Z$5=$J17),"◆","")</f>
        <v/>
      </c>
      <c r="AA17" s="19" t="str">
        <f t="shared" si="8"/>
        <v/>
      </c>
      <c r="AB17" s="19" t="str">
        <f t="shared" si="8"/>
        <v/>
      </c>
      <c r="AC17" s="19" t="str">
        <f t="shared" si="8"/>
        <v/>
      </c>
      <c r="AD17" s="19" t="str">
        <f t="shared" si="8"/>
        <v/>
      </c>
      <c r="AE17" s="19" t="str">
        <f t="shared" si="8"/>
        <v/>
      </c>
      <c r="AF17" s="19" t="str">
        <f t="shared" si="8"/>
        <v/>
      </c>
      <c r="AG17" s="19" t="str">
        <f t="shared" si="8"/>
        <v/>
      </c>
      <c r="AH17" s="19" t="str">
        <f t="shared" si="8"/>
        <v/>
      </c>
      <c r="AI17" s="19" t="str">
        <f t="shared" si="8"/>
        <v/>
      </c>
      <c r="AJ17" s="19" t="str">
        <f t="shared" ref="AJ17:AU20" si="9">IF(AND($D17="Hito",AJ$5=$J17),"◆","")</f>
        <v/>
      </c>
      <c r="AK17" s="19" t="str">
        <f t="shared" si="9"/>
        <v/>
      </c>
      <c r="AL17" s="19" t="str">
        <f t="shared" si="9"/>
        <v/>
      </c>
      <c r="AM17" s="19" t="str">
        <f t="shared" si="9"/>
        <v/>
      </c>
      <c r="AN17" s="19" t="str">
        <f t="shared" si="9"/>
        <v/>
      </c>
      <c r="AO17" s="19" t="str">
        <f t="shared" si="9"/>
        <v/>
      </c>
      <c r="AP17" s="19" t="str">
        <f t="shared" si="9"/>
        <v/>
      </c>
      <c r="AQ17" s="19" t="str">
        <f t="shared" si="9"/>
        <v/>
      </c>
      <c r="AR17" s="19" t="str">
        <f t="shared" si="9"/>
        <v/>
      </c>
      <c r="AS17" s="19" t="str">
        <f t="shared" si="9"/>
        <v/>
      </c>
      <c r="AT17" s="19" t="str">
        <f t="shared" si="9"/>
        <v/>
      </c>
      <c r="AU17" s="19" t="str">
        <f t="shared" si="9"/>
        <v/>
      </c>
      <c r="AW17">
        <v>1</v>
      </c>
      <c r="AX17">
        <f ca="1">IF(AND(J17&lt;=Hoy!$C$4,K17&gt;=Hoy!$C$4),1,0)</f>
        <v>0</v>
      </c>
      <c r="AY17" t="str">
        <f ca="1">IF(AX17=1,SUM($AX$6:AX17),"")</f>
        <v/>
      </c>
      <c r="AZ17">
        <f ca="1">IF(N17="Vencida",1,0)</f>
        <v>0</v>
      </c>
      <c r="BA17" t="str">
        <f ca="1">IF(AZ17=1,SUM($AZ$6:AZ17),"")</f>
        <v/>
      </c>
    </row>
    <row r="18" spans="1:53" ht="30" customHeight="1" outlineLevel="1" x14ac:dyDescent="0.3">
      <c r="A18" s="13" t="s">
        <v>89</v>
      </c>
      <c r="B18" s="14" t="s">
        <v>82</v>
      </c>
      <c r="C18" s="20" t="s">
        <v>90</v>
      </c>
      <c r="D18" s="13" t="s">
        <v>78</v>
      </c>
      <c r="E18" s="15" t="s">
        <v>91</v>
      </c>
      <c r="F18" s="14" t="s">
        <v>64</v>
      </c>
      <c r="G18" s="15" t="s">
        <v>50</v>
      </c>
      <c r="H18" s="15" t="s">
        <v>92</v>
      </c>
      <c r="I18" s="13" t="s">
        <v>67</v>
      </c>
      <c r="J18" s="16">
        <v>46325</v>
      </c>
      <c r="K18" s="16">
        <v>46325</v>
      </c>
      <c r="L18" s="13">
        <f t="shared" si="0"/>
        <v>1</v>
      </c>
      <c r="M18" s="17" t="s">
        <v>68</v>
      </c>
      <c r="N18" s="13" t="str">
        <f ca="1">IF(M18="Finalizado","",IF(K18&lt;Hoy!$C$4,"Vencida",IF(AND(J18&lt;=Hoy!$C$4,M18="No iniciado"),"Sin iniciar","")))</f>
        <v/>
      </c>
      <c r="O18" s="18"/>
      <c r="P18" s="19" t="str">
        <f t="shared" si="7"/>
        <v/>
      </c>
      <c r="Q18" s="19" t="str">
        <f t="shared" si="7"/>
        <v/>
      </c>
      <c r="R18" s="19" t="str">
        <f t="shared" si="7"/>
        <v/>
      </c>
      <c r="S18" s="19" t="str">
        <f t="shared" si="7"/>
        <v/>
      </c>
      <c r="T18" s="19" t="str">
        <f t="shared" si="7"/>
        <v/>
      </c>
      <c r="U18" s="19" t="str">
        <f t="shared" si="7"/>
        <v/>
      </c>
      <c r="V18" s="19" t="str">
        <f t="shared" si="7"/>
        <v/>
      </c>
      <c r="W18" s="19" t="str">
        <f t="shared" si="7"/>
        <v/>
      </c>
      <c r="X18" s="19" t="str">
        <f t="shared" si="7"/>
        <v/>
      </c>
      <c r="Y18" s="19" t="str">
        <f t="shared" si="7"/>
        <v/>
      </c>
      <c r="Z18" s="19" t="str">
        <f t="shared" si="8"/>
        <v>◆</v>
      </c>
      <c r="AA18" s="19" t="str">
        <f t="shared" si="8"/>
        <v/>
      </c>
      <c r="AB18" s="19" t="str">
        <f t="shared" si="8"/>
        <v/>
      </c>
      <c r="AC18" s="19" t="str">
        <f t="shared" si="8"/>
        <v/>
      </c>
      <c r="AD18" s="19" t="str">
        <f t="shared" si="8"/>
        <v/>
      </c>
      <c r="AE18" s="19" t="str">
        <f t="shared" si="8"/>
        <v/>
      </c>
      <c r="AF18" s="19" t="str">
        <f t="shared" si="8"/>
        <v/>
      </c>
      <c r="AG18" s="19" t="str">
        <f t="shared" si="8"/>
        <v/>
      </c>
      <c r="AH18" s="19" t="str">
        <f t="shared" si="8"/>
        <v/>
      </c>
      <c r="AI18" s="19" t="str">
        <f t="shared" si="8"/>
        <v/>
      </c>
      <c r="AJ18" s="19" t="str">
        <f t="shared" si="9"/>
        <v/>
      </c>
      <c r="AK18" s="19" t="str">
        <f t="shared" si="9"/>
        <v/>
      </c>
      <c r="AL18" s="19" t="str">
        <f t="shared" si="9"/>
        <v/>
      </c>
      <c r="AM18" s="19" t="str">
        <f t="shared" si="9"/>
        <v/>
      </c>
      <c r="AN18" s="19" t="str">
        <f t="shared" si="9"/>
        <v/>
      </c>
      <c r="AO18" s="19" t="str">
        <f t="shared" si="9"/>
        <v/>
      </c>
      <c r="AP18" s="19" t="str">
        <f t="shared" si="9"/>
        <v/>
      </c>
      <c r="AQ18" s="19" t="str">
        <f t="shared" si="9"/>
        <v/>
      </c>
      <c r="AR18" s="19" t="str">
        <f t="shared" si="9"/>
        <v/>
      </c>
      <c r="AS18" s="19" t="str">
        <f t="shared" si="9"/>
        <v/>
      </c>
      <c r="AT18" s="19" t="str">
        <f t="shared" si="9"/>
        <v/>
      </c>
      <c r="AU18" s="19" t="str">
        <f t="shared" si="9"/>
        <v/>
      </c>
      <c r="AW18">
        <v>1</v>
      </c>
      <c r="AX18">
        <f ca="1">IF(AND(J18&lt;=Hoy!$C$4,K18&gt;=Hoy!$C$4),1,0)</f>
        <v>0</v>
      </c>
      <c r="AY18" t="str">
        <f ca="1">IF(AX18=1,SUM($AX$6:AX18),"")</f>
        <v/>
      </c>
      <c r="AZ18">
        <f ca="1">IF(N18="Vencida",1,0)</f>
        <v>0</v>
      </c>
      <c r="BA18" t="str">
        <f ca="1">IF(AZ18=1,SUM($AZ$6:AZ18),"")</f>
        <v/>
      </c>
    </row>
    <row r="19" spans="1:53" ht="30" customHeight="1" outlineLevel="1" x14ac:dyDescent="0.3">
      <c r="A19" s="13" t="s">
        <v>93</v>
      </c>
      <c r="B19" s="14" t="s">
        <v>82</v>
      </c>
      <c r="C19" s="15" t="s">
        <v>94</v>
      </c>
      <c r="D19" s="13" t="s">
        <v>35</v>
      </c>
      <c r="E19" s="15" t="s">
        <v>95</v>
      </c>
      <c r="F19" s="14" t="s">
        <v>74</v>
      </c>
      <c r="G19" s="15" t="s">
        <v>96</v>
      </c>
      <c r="H19" s="15" t="s">
        <v>97</v>
      </c>
      <c r="I19" s="13" t="s">
        <v>67</v>
      </c>
      <c r="J19" s="16">
        <v>46325</v>
      </c>
      <c r="K19" s="16">
        <v>46328</v>
      </c>
      <c r="L19" s="13">
        <f t="shared" si="0"/>
        <v>4</v>
      </c>
      <c r="M19" s="17" t="s">
        <v>68</v>
      </c>
      <c r="N19" s="13" t="str">
        <f ca="1">IF(M19="Finalizado","",IF(K19&lt;Hoy!$C$4,"Vencida",IF(AND(J19&lt;=Hoy!$C$4,M19="No iniciado"),"Sin iniciar","")))</f>
        <v/>
      </c>
      <c r="O19" s="18"/>
      <c r="P19" s="19" t="str">
        <f t="shared" si="7"/>
        <v/>
      </c>
      <c r="Q19" s="19" t="str">
        <f t="shared" si="7"/>
        <v/>
      </c>
      <c r="R19" s="19" t="str">
        <f t="shared" si="7"/>
        <v/>
      </c>
      <c r="S19" s="19" t="str">
        <f t="shared" si="7"/>
        <v/>
      </c>
      <c r="T19" s="19" t="str">
        <f t="shared" si="7"/>
        <v/>
      </c>
      <c r="U19" s="19" t="str">
        <f t="shared" si="7"/>
        <v/>
      </c>
      <c r="V19" s="19" t="str">
        <f t="shared" si="7"/>
        <v/>
      </c>
      <c r="W19" s="19" t="str">
        <f t="shared" si="7"/>
        <v/>
      </c>
      <c r="X19" s="19" t="str">
        <f t="shared" si="7"/>
        <v/>
      </c>
      <c r="Y19" s="19" t="str">
        <f t="shared" si="7"/>
        <v/>
      </c>
      <c r="Z19" s="19" t="str">
        <f t="shared" si="8"/>
        <v/>
      </c>
      <c r="AA19" s="19" t="str">
        <f t="shared" si="8"/>
        <v/>
      </c>
      <c r="AB19" s="19" t="str">
        <f t="shared" si="8"/>
        <v/>
      </c>
      <c r="AC19" s="19" t="str">
        <f t="shared" si="8"/>
        <v/>
      </c>
      <c r="AD19" s="19" t="str">
        <f t="shared" si="8"/>
        <v/>
      </c>
      <c r="AE19" s="19" t="str">
        <f t="shared" si="8"/>
        <v/>
      </c>
      <c r="AF19" s="19" t="str">
        <f t="shared" si="8"/>
        <v/>
      </c>
      <c r="AG19" s="19" t="str">
        <f t="shared" si="8"/>
        <v/>
      </c>
      <c r="AH19" s="19" t="str">
        <f t="shared" si="8"/>
        <v/>
      </c>
      <c r="AI19" s="19" t="str">
        <f t="shared" si="8"/>
        <v/>
      </c>
      <c r="AJ19" s="19" t="str">
        <f t="shared" si="9"/>
        <v/>
      </c>
      <c r="AK19" s="19" t="str">
        <f t="shared" si="9"/>
        <v/>
      </c>
      <c r="AL19" s="19" t="str">
        <f t="shared" si="9"/>
        <v/>
      </c>
      <c r="AM19" s="19" t="str">
        <f t="shared" si="9"/>
        <v/>
      </c>
      <c r="AN19" s="19" t="str">
        <f t="shared" si="9"/>
        <v/>
      </c>
      <c r="AO19" s="19" t="str">
        <f t="shared" si="9"/>
        <v/>
      </c>
      <c r="AP19" s="19" t="str">
        <f t="shared" si="9"/>
        <v/>
      </c>
      <c r="AQ19" s="19" t="str">
        <f t="shared" si="9"/>
        <v/>
      </c>
      <c r="AR19" s="19" t="str">
        <f t="shared" si="9"/>
        <v/>
      </c>
      <c r="AS19" s="19" t="str">
        <f t="shared" si="9"/>
        <v/>
      </c>
      <c r="AT19" s="19" t="str">
        <f t="shared" si="9"/>
        <v/>
      </c>
      <c r="AU19" s="19" t="str">
        <f t="shared" si="9"/>
        <v/>
      </c>
      <c r="AW19">
        <v>1</v>
      </c>
      <c r="AX19">
        <f ca="1">IF(AND(J19&lt;=Hoy!$C$4,K19&gt;=Hoy!$C$4),1,0)</f>
        <v>0</v>
      </c>
      <c r="AY19" t="str">
        <f ca="1">IF(AX19=1,SUM($AX$6:AX19),"")</f>
        <v/>
      </c>
      <c r="AZ19">
        <f ca="1">IF(N19="Vencida",1,0)</f>
        <v>0</v>
      </c>
      <c r="BA19" t="str">
        <f ca="1">IF(AZ19=1,SUM($AZ$6:AZ19),"")</f>
        <v/>
      </c>
    </row>
    <row r="20" spans="1:53" ht="30" customHeight="1" outlineLevel="1" x14ac:dyDescent="0.3">
      <c r="A20" s="13" t="s">
        <v>98</v>
      </c>
      <c r="B20" s="14" t="s">
        <v>82</v>
      </c>
      <c r="C20" s="20" t="s">
        <v>99</v>
      </c>
      <c r="D20" s="13" t="s">
        <v>78</v>
      </c>
      <c r="E20" s="15" t="s">
        <v>100</v>
      </c>
      <c r="F20" s="14" t="s">
        <v>87</v>
      </c>
      <c r="G20" s="15" t="s">
        <v>50</v>
      </c>
      <c r="H20" s="15" t="s">
        <v>101</v>
      </c>
      <c r="I20" s="13" t="s">
        <v>40</v>
      </c>
      <c r="J20" s="16">
        <v>46328</v>
      </c>
      <c r="K20" s="16">
        <v>46328</v>
      </c>
      <c r="L20" s="13">
        <f t="shared" si="0"/>
        <v>1</v>
      </c>
      <c r="M20" s="17" t="s">
        <v>41</v>
      </c>
      <c r="N20" s="13" t="str">
        <f ca="1">IF(M20="Finalizado","",IF(K20&lt;Hoy!$C$4,"Vencida",IF(AND(J20&lt;=Hoy!$C$4,M20="No iniciado"),"Sin iniciar","")))</f>
        <v/>
      </c>
      <c r="O20" s="18"/>
      <c r="P20" s="19" t="str">
        <f t="shared" si="7"/>
        <v/>
      </c>
      <c r="Q20" s="19" t="str">
        <f t="shared" si="7"/>
        <v/>
      </c>
      <c r="R20" s="19" t="str">
        <f t="shared" si="7"/>
        <v/>
      </c>
      <c r="S20" s="19" t="str">
        <f t="shared" si="7"/>
        <v/>
      </c>
      <c r="T20" s="19" t="str">
        <f t="shared" si="7"/>
        <v/>
      </c>
      <c r="U20" s="19" t="str">
        <f t="shared" si="7"/>
        <v/>
      </c>
      <c r="V20" s="19" t="str">
        <f t="shared" si="7"/>
        <v/>
      </c>
      <c r="W20" s="19" t="str">
        <f t="shared" si="7"/>
        <v/>
      </c>
      <c r="X20" s="19" t="str">
        <f t="shared" si="7"/>
        <v/>
      </c>
      <c r="Y20" s="19" t="str">
        <f t="shared" si="7"/>
        <v/>
      </c>
      <c r="Z20" s="19" t="str">
        <f t="shared" si="8"/>
        <v/>
      </c>
      <c r="AA20" s="19" t="str">
        <f t="shared" si="8"/>
        <v/>
      </c>
      <c r="AB20" s="19" t="str">
        <f t="shared" si="8"/>
        <v/>
      </c>
      <c r="AC20" s="19" t="str">
        <f t="shared" si="8"/>
        <v>◆</v>
      </c>
      <c r="AD20" s="19" t="str">
        <f t="shared" si="8"/>
        <v/>
      </c>
      <c r="AE20" s="19" t="str">
        <f t="shared" si="8"/>
        <v/>
      </c>
      <c r="AF20" s="19" t="str">
        <f t="shared" si="8"/>
        <v/>
      </c>
      <c r="AG20" s="19" t="str">
        <f t="shared" si="8"/>
        <v/>
      </c>
      <c r="AH20" s="19" t="str">
        <f t="shared" si="8"/>
        <v/>
      </c>
      <c r="AI20" s="19" t="str">
        <f t="shared" si="8"/>
        <v/>
      </c>
      <c r="AJ20" s="19" t="str">
        <f t="shared" si="9"/>
        <v/>
      </c>
      <c r="AK20" s="19" t="str">
        <f t="shared" si="9"/>
        <v/>
      </c>
      <c r="AL20" s="19" t="str">
        <f t="shared" si="9"/>
        <v/>
      </c>
      <c r="AM20" s="19" t="str">
        <f t="shared" si="9"/>
        <v/>
      </c>
      <c r="AN20" s="19" t="str">
        <f t="shared" si="9"/>
        <v/>
      </c>
      <c r="AO20" s="19" t="str">
        <f t="shared" si="9"/>
        <v/>
      </c>
      <c r="AP20" s="19" t="str">
        <f t="shared" si="9"/>
        <v/>
      </c>
      <c r="AQ20" s="19" t="str">
        <f t="shared" si="9"/>
        <v/>
      </c>
      <c r="AR20" s="19" t="str">
        <f t="shared" si="9"/>
        <v/>
      </c>
      <c r="AS20" s="19" t="str">
        <f t="shared" si="9"/>
        <v/>
      </c>
      <c r="AT20" s="19" t="str">
        <f t="shared" si="9"/>
        <v/>
      </c>
      <c r="AU20" s="19" t="str">
        <f t="shared" si="9"/>
        <v/>
      </c>
      <c r="AW20">
        <v>1</v>
      </c>
      <c r="AX20">
        <f ca="1">IF(AND(J20&lt;=Hoy!$C$4,K20&gt;=Hoy!$C$4),1,0)</f>
        <v>0</v>
      </c>
      <c r="AY20" t="str">
        <f ca="1">IF(AX20=1,SUM($AX$6:AX20),"")</f>
        <v/>
      </c>
      <c r="AZ20">
        <f ca="1">IF(N20="Vencida",1,0)</f>
        <v>0</v>
      </c>
      <c r="BA20" t="str">
        <f ca="1">IF(AZ20=1,SUM($AZ$6:AZ20),"")</f>
        <v/>
      </c>
    </row>
    <row r="21" spans="1:53" ht="18" customHeight="1" x14ac:dyDescent="0.3">
      <c r="A21" s="9" t="s">
        <v>102</v>
      </c>
      <c r="B21" s="10" t="s">
        <v>103</v>
      </c>
      <c r="C21" s="10" t="s">
        <v>104</v>
      </c>
      <c r="D21" s="9" t="s">
        <v>11</v>
      </c>
      <c r="E21" s="10"/>
      <c r="F21" s="9"/>
      <c r="G21" s="10"/>
      <c r="H21" s="10"/>
      <c r="I21" s="9"/>
      <c r="J21" s="11">
        <f>MIN(J22:J27)</f>
        <v>46321</v>
      </c>
      <c r="K21" s="11">
        <f>MAX(K22:K27)</f>
        <v>46330</v>
      </c>
      <c r="L21" s="9">
        <f t="shared" si="0"/>
        <v>10</v>
      </c>
      <c r="M21" s="9" t="str">
        <f ca="1">IF(COUNTIF(M22:M27,"Finalizado")=ROWS(M22:M27),"Finalizado",IF(OR(COUNTIF(M22:M27,"Demorado")&gt;0,COUNTIF(N22:N27,"Vencida")&gt;0),"Demorado",IF(COUNTIF(M22:M27,"En curso")+COUNTIF(M22:M27,"Finalizado")&gt;0,"En curso","No iniciado")))</f>
        <v>En curso</v>
      </c>
      <c r="N21" s="9" t="str">
        <f ca="1">IF(COUNTIF(N22:N27,"Vencida")&gt;0,COUNTIF(N22:N27,"Vencida")&amp;" vencida(s)","")</f>
        <v/>
      </c>
      <c r="O21" s="10" t="str">
        <f>COUNTIF(M22:M27,"Finalizado")&amp;" de "&amp;ROWS(M22:M27)&amp;" finalizadas"</f>
        <v>0 de 6 finalizadas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W21">
        <v>0</v>
      </c>
    </row>
    <row r="22" spans="1:53" ht="30" customHeight="1" outlineLevel="1" x14ac:dyDescent="0.3">
      <c r="A22" s="13" t="s">
        <v>105</v>
      </c>
      <c r="B22" s="14" t="s">
        <v>103</v>
      </c>
      <c r="C22" s="15" t="s">
        <v>106</v>
      </c>
      <c r="D22" s="13" t="s">
        <v>35</v>
      </c>
      <c r="E22" s="15" t="s">
        <v>107</v>
      </c>
      <c r="F22" s="14" t="s">
        <v>64</v>
      </c>
      <c r="G22" s="15" t="s">
        <v>108</v>
      </c>
      <c r="H22" s="15" t="s">
        <v>109</v>
      </c>
      <c r="I22" s="13" t="s">
        <v>67</v>
      </c>
      <c r="J22" s="16">
        <v>46321</v>
      </c>
      <c r="K22" s="16">
        <v>46323</v>
      </c>
      <c r="L22" s="13">
        <f t="shared" si="0"/>
        <v>3</v>
      </c>
      <c r="M22" s="17" t="s">
        <v>68</v>
      </c>
      <c r="N22" s="13" t="str">
        <f ca="1">IF(M22="Finalizado","",IF(K22&lt;Hoy!$C$4,"Vencida",IF(AND(J22&lt;=Hoy!$C$4,M22="No iniciado"),"Sin iniciar","")))</f>
        <v/>
      </c>
      <c r="O22" s="18"/>
      <c r="P22" s="19" t="str">
        <f t="shared" ref="P22:Y27" si="10">IF(AND($D22="Hito",P$5=$J22),"◆","")</f>
        <v/>
      </c>
      <c r="Q22" s="19" t="str">
        <f t="shared" si="10"/>
        <v/>
      </c>
      <c r="R22" s="19" t="str">
        <f t="shared" si="10"/>
        <v/>
      </c>
      <c r="S22" s="19" t="str">
        <f t="shared" si="10"/>
        <v/>
      </c>
      <c r="T22" s="19" t="str">
        <f t="shared" si="10"/>
        <v/>
      </c>
      <c r="U22" s="19" t="str">
        <f t="shared" si="10"/>
        <v/>
      </c>
      <c r="V22" s="19" t="str">
        <f t="shared" si="10"/>
        <v/>
      </c>
      <c r="W22" s="19" t="str">
        <f t="shared" si="10"/>
        <v/>
      </c>
      <c r="X22" s="19" t="str">
        <f t="shared" si="10"/>
        <v/>
      </c>
      <c r="Y22" s="19" t="str">
        <f t="shared" si="10"/>
        <v/>
      </c>
      <c r="Z22" s="19" t="str">
        <f t="shared" ref="Z22:AI27" si="11">IF(AND($D22="Hito",Z$5=$J22),"◆","")</f>
        <v/>
      </c>
      <c r="AA22" s="19" t="str">
        <f t="shared" si="11"/>
        <v/>
      </c>
      <c r="AB22" s="19" t="str">
        <f t="shared" si="11"/>
        <v/>
      </c>
      <c r="AC22" s="19" t="str">
        <f t="shared" si="11"/>
        <v/>
      </c>
      <c r="AD22" s="19" t="str">
        <f t="shared" si="11"/>
        <v/>
      </c>
      <c r="AE22" s="19" t="str">
        <f t="shared" si="11"/>
        <v/>
      </c>
      <c r="AF22" s="19" t="str">
        <f t="shared" si="11"/>
        <v/>
      </c>
      <c r="AG22" s="19" t="str">
        <f t="shared" si="11"/>
        <v/>
      </c>
      <c r="AH22" s="19" t="str">
        <f t="shared" si="11"/>
        <v/>
      </c>
      <c r="AI22" s="19" t="str">
        <f t="shared" si="11"/>
        <v/>
      </c>
      <c r="AJ22" s="19" t="str">
        <f t="shared" ref="AJ22:AU27" si="12">IF(AND($D22="Hito",AJ$5=$J22),"◆","")</f>
        <v/>
      </c>
      <c r="AK22" s="19" t="str">
        <f t="shared" si="12"/>
        <v/>
      </c>
      <c r="AL22" s="19" t="str">
        <f t="shared" si="12"/>
        <v/>
      </c>
      <c r="AM22" s="19" t="str">
        <f t="shared" si="12"/>
        <v/>
      </c>
      <c r="AN22" s="19" t="str">
        <f t="shared" si="12"/>
        <v/>
      </c>
      <c r="AO22" s="19" t="str">
        <f t="shared" si="12"/>
        <v/>
      </c>
      <c r="AP22" s="19" t="str">
        <f t="shared" si="12"/>
        <v/>
      </c>
      <c r="AQ22" s="19" t="str">
        <f t="shared" si="12"/>
        <v/>
      </c>
      <c r="AR22" s="19" t="str">
        <f t="shared" si="12"/>
        <v/>
      </c>
      <c r="AS22" s="19" t="str">
        <f t="shared" si="12"/>
        <v/>
      </c>
      <c r="AT22" s="19" t="str">
        <f t="shared" si="12"/>
        <v/>
      </c>
      <c r="AU22" s="19" t="str">
        <f t="shared" si="12"/>
        <v/>
      </c>
      <c r="AW22">
        <v>1</v>
      </c>
      <c r="AX22">
        <f ca="1">IF(AND(J22&lt;=Hoy!$C$4,K22&gt;=Hoy!$C$4),1,0)</f>
        <v>1</v>
      </c>
      <c r="AY22">
        <f ca="1">IF(AX22=1,SUM($AX$6:AX22),"")</f>
        <v>3</v>
      </c>
      <c r="AZ22">
        <f t="shared" ref="AZ22:AZ27" ca="1" si="13">IF(N22="Vencida",1,0)</f>
        <v>0</v>
      </c>
      <c r="BA22" t="str">
        <f ca="1">IF(AZ22=1,SUM($AZ$6:AZ22),"")</f>
        <v/>
      </c>
    </row>
    <row r="23" spans="1:53" ht="30" customHeight="1" outlineLevel="1" x14ac:dyDescent="0.3">
      <c r="A23" s="13" t="s">
        <v>110</v>
      </c>
      <c r="B23" s="14" t="s">
        <v>103</v>
      </c>
      <c r="C23" s="20" t="s">
        <v>111</v>
      </c>
      <c r="D23" s="13" t="s">
        <v>78</v>
      </c>
      <c r="E23" s="15" t="s">
        <v>112</v>
      </c>
      <c r="F23" s="14" t="s">
        <v>64</v>
      </c>
      <c r="G23" s="15" t="s">
        <v>108</v>
      </c>
      <c r="H23" s="15" t="s">
        <v>113</v>
      </c>
      <c r="I23" s="13" t="s">
        <v>67</v>
      </c>
      <c r="J23" s="16">
        <v>46323</v>
      </c>
      <c r="K23" s="16">
        <v>46323</v>
      </c>
      <c r="L23" s="13">
        <f t="shared" si="0"/>
        <v>1</v>
      </c>
      <c r="M23" s="17" t="s">
        <v>68</v>
      </c>
      <c r="N23" s="13" t="str">
        <f ca="1">IF(M23="Finalizado","",IF(K23&lt;Hoy!$C$4,"Vencida",IF(AND(J23&lt;=Hoy!$C$4,M23="No iniciado"),"Sin iniciar","")))</f>
        <v/>
      </c>
      <c r="O23" s="18"/>
      <c r="P23" s="19" t="str">
        <f t="shared" si="10"/>
        <v/>
      </c>
      <c r="Q23" s="19" t="str">
        <f t="shared" si="10"/>
        <v/>
      </c>
      <c r="R23" s="19" t="str">
        <f t="shared" si="10"/>
        <v/>
      </c>
      <c r="S23" s="19" t="str">
        <f t="shared" si="10"/>
        <v/>
      </c>
      <c r="T23" s="19" t="str">
        <f t="shared" si="10"/>
        <v/>
      </c>
      <c r="U23" s="19" t="str">
        <f t="shared" si="10"/>
        <v/>
      </c>
      <c r="V23" s="19" t="str">
        <f t="shared" si="10"/>
        <v/>
      </c>
      <c r="W23" s="19" t="str">
        <f t="shared" si="10"/>
        <v/>
      </c>
      <c r="X23" s="19" t="str">
        <f t="shared" si="10"/>
        <v>◆</v>
      </c>
      <c r="Y23" s="19" t="str">
        <f t="shared" si="10"/>
        <v/>
      </c>
      <c r="Z23" s="19" t="str">
        <f t="shared" si="11"/>
        <v/>
      </c>
      <c r="AA23" s="19" t="str">
        <f t="shared" si="11"/>
        <v/>
      </c>
      <c r="AB23" s="19" t="str">
        <f t="shared" si="11"/>
        <v/>
      </c>
      <c r="AC23" s="19" t="str">
        <f t="shared" si="11"/>
        <v/>
      </c>
      <c r="AD23" s="19" t="str">
        <f t="shared" si="11"/>
        <v/>
      </c>
      <c r="AE23" s="19" t="str">
        <f t="shared" si="11"/>
        <v/>
      </c>
      <c r="AF23" s="19" t="str">
        <f t="shared" si="11"/>
        <v/>
      </c>
      <c r="AG23" s="19" t="str">
        <f t="shared" si="11"/>
        <v/>
      </c>
      <c r="AH23" s="19" t="str">
        <f t="shared" si="11"/>
        <v/>
      </c>
      <c r="AI23" s="19" t="str">
        <f t="shared" si="11"/>
        <v/>
      </c>
      <c r="AJ23" s="19" t="str">
        <f t="shared" si="12"/>
        <v/>
      </c>
      <c r="AK23" s="19" t="str">
        <f t="shared" si="12"/>
        <v/>
      </c>
      <c r="AL23" s="19" t="str">
        <f t="shared" si="12"/>
        <v/>
      </c>
      <c r="AM23" s="19" t="str">
        <f t="shared" si="12"/>
        <v/>
      </c>
      <c r="AN23" s="19" t="str">
        <f t="shared" si="12"/>
        <v/>
      </c>
      <c r="AO23" s="19" t="str">
        <f t="shared" si="12"/>
        <v/>
      </c>
      <c r="AP23" s="19" t="str">
        <f t="shared" si="12"/>
        <v/>
      </c>
      <c r="AQ23" s="19" t="str">
        <f t="shared" si="12"/>
        <v/>
      </c>
      <c r="AR23" s="19" t="str">
        <f t="shared" si="12"/>
        <v/>
      </c>
      <c r="AS23" s="19" t="str">
        <f t="shared" si="12"/>
        <v/>
      </c>
      <c r="AT23" s="19" t="str">
        <f t="shared" si="12"/>
        <v/>
      </c>
      <c r="AU23" s="19" t="str">
        <f t="shared" si="12"/>
        <v/>
      </c>
      <c r="AW23">
        <v>1</v>
      </c>
      <c r="AX23">
        <f ca="1">IF(AND(J23&lt;=Hoy!$C$4,K23&gt;=Hoy!$C$4),1,0)</f>
        <v>1</v>
      </c>
      <c r="AY23">
        <f ca="1">IF(AX23=1,SUM($AX$6:AX23),"")</f>
        <v>4</v>
      </c>
      <c r="AZ23">
        <f t="shared" ca="1" si="13"/>
        <v>0</v>
      </c>
      <c r="BA23" t="str">
        <f ca="1">IF(AZ23=1,SUM($AZ$6:AZ23),"")</f>
        <v/>
      </c>
    </row>
    <row r="24" spans="1:53" ht="30" customHeight="1" outlineLevel="1" x14ac:dyDescent="0.3">
      <c r="A24" s="13" t="s">
        <v>114</v>
      </c>
      <c r="B24" s="14" t="s">
        <v>103</v>
      </c>
      <c r="C24" s="15" t="s">
        <v>115</v>
      </c>
      <c r="D24" s="13" t="s">
        <v>35</v>
      </c>
      <c r="E24" s="15" t="s">
        <v>116</v>
      </c>
      <c r="F24" s="14" t="s">
        <v>117</v>
      </c>
      <c r="G24" s="15" t="s">
        <v>118</v>
      </c>
      <c r="H24" s="15" t="s">
        <v>119</v>
      </c>
      <c r="I24" s="13" t="s">
        <v>40</v>
      </c>
      <c r="J24" s="16">
        <v>46324</v>
      </c>
      <c r="K24" s="16">
        <v>46329</v>
      </c>
      <c r="L24" s="13">
        <f t="shared" si="0"/>
        <v>6</v>
      </c>
      <c r="M24" s="17" t="s">
        <v>41</v>
      </c>
      <c r="N24" s="13" t="str">
        <f ca="1">IF(M24="Finalizado","",IF(K24&lt;Hoy!$C$4,"Vencida",IF(AND(J24&lt;=Hoy!$C$4,M24="No iniciado"),"Sin iniciar","")))</f>
        <v/>
      </c>
      <c r="O24" s="18"/>
      <c r="P24" s="19" t="str">
        <f t="shared" si="10"/>
        <v/>
      </c>
      <c r="Q24" s="19" t="str">
        <f t="shared" si="10"/>
        <v/>
      </c>
      <c r="R24" s="19" t="str">
        <f t="shared" si="10"/>
        <v/>
      </c>
      <c r="S24" s="19" t="str">
        <f t="shared" si="10"/>
        <v/>
      </c>
      <c r="T24" s="19" t="str">
        <f t="shared" si="10"/>
        <v/>
      </c>
      <c r="U24" s="19" t="str">
        <f t="shared" si="10"/>
        <v/>
      </c>
      <c r="V24" s="19" t="str">
        <f t="shared" si="10"/>
        <v/>
      </c>
      <c r="W24" s="19" t="str">
        <f t="shared" si="10"/>
        <v/>
      </c>
      <c r="X24" s="19" t="str">
        <f t="shared" si="10"/>
        <v/>
      </c>
      <c r="Y24" s="19" t="str">
        <f t="shared" si="10"/>
        <v/>
      </c>
      <c r="Z24" s="19" t="str">
        <f t="shared" si="11"/>
        <v/>
      </c>
      <c r="AA24" s="19" t="str">
        <f t="shared" si="11"/>
        <v/>
      </c>
      <c r="AB24" s="19" t="str">
        <f t="shared" si="11"/>
        <v/>
      </c>
      <c r="AC24" s="19" t="str">
        <f t="shared" si="11"/>
        <v/>
      </c>
      <c r="AD24" s="19" t="str">
        <f t="shared" si="11"/>
        <v/>
      </c>
      <c r="AE24" s="19" t="str">
        <f t="shared" si="11"/>
        <v/>
      </c>
      <c r="AF24" s="19" t="str">
        <f t="shared" si="11"/>
        <v/>
      </c>
      <c r="AG24" s="19" t="str">
        <f t="shared" si="11"/>
        <v/>
      </c>
      <c r="AH24" s="19" t="str">
        <f t="shared" si="11"/>
        <v/>
      </c>
      <c r="AI24" s="19" t="str">
        <f t="shared" si="11"/>
        <v/>
      </c>
      <c r="AJ24" s="19" t="str">
        <f t="shared" si="12"/>
        <v/>
      </c>
      <c r="AK24" s="19" t="str">
        <f t="shared" si="12"/>
        <v/>
      </c>
      <c r="AL24" s="19" t="str">
        <f t="shared" si="12"/>
        <v/>
      </c>
      <c r="AM24" s="19" t="str">
        <f t="shared" si="12"/>
        <v/>
      </c>
      <c r="AN24" s="19" t="str">
        <f t="shared" si="12"/>
        <v/>
      </c>
      <c r="AO24" s="19" t="str">
        <f t="shared" si="12"/>
        <v/>
      </c>
      <c r="AP24" s="19" t="str">
        <f t="shared" si="12"/>
        <v/>
      </c>
      <c r="AQ24" s="19" t="str">
        <f t="shared" si="12"/>
        <v/>
      </c>
      <c r="AR24" s="19" t="str">
        <f t="shared" si="12"/>
        <v/>
      </c>
      <c r="AS24" s="19" t="str">
        <f t="shared" si="12"/>
        <v/>
      </c>
      <c r="AT24" s="19" t="str">
        <f t="shared" si="12"/>
        <v/>
      </c>
      <c r="AU24" s="19" t="str">
        <f t="shared" si="12"/>
        <v/>
      </c>
      <c r="AW24">
        <v>1</v>
      </c>
      <c r="AX24">
        <f ca="1">IF(AND(J24&lt;=Hoy!$C$4,K24&gt;=Hoy!$C$4),1,0)</f>
        <v>0</v>
      </c>
      <c r="AY24" t="str">
        <f ca="1">IF(AX24=1,SUM($AX$6:AX24),"")</f>
        <v/>
      </c>
      <c r="AZ24">
        <f t="shared" ca="1" si="13"/>
        <v>0</v>
      </c>
      <c r="BA24" t="str">
        <f ca="1">IF(AZ24=1,SUM($AZ$6:AZ24),"")</f>
        <v/>
      </c>
    </row>
    <row r="25" spans="1:53" ht="30" customHeight="1" outlineLevel="1" x14ac:dyDescent="0.3">
      <c r="A25" s="13" t="s">
        <v>120</v>
      </c>
      <c r="B25" s="14" t="s">
        <v>103</v>
      </c>
      <c r="C25" s="15" t="s">
        <v>121</v>
      </c>
      <c r="D25" s="13" t="s">
        <v>35</v>
      </c>
      <c r="E25" s="15" t="s">
        <v>122</v>
      </c>
      <c r="F25" s="14" t="s">
        <v>117</v>
      </c>
      <c r="G25" s="15" t="s">
        <v>108</v>
      </c>
      <c r="H25" s="15" t="s">
        <v>123</v>
      </c>
      <c r="I25" s="13" t="s">
        <v>40</v>
      </c>
      <c r="J25" s="16">
        <v>46329</v>
      </c>
      <c r="K25" s="16">
        <v>46330</v>
      </c>
      <c r="L25" s="13">
        <f t="shared" si="0"/>
        <v>2</v>
      </c>
      <c r="M25" s="17" t="s">
        <v>41</v>
      </c>
      <c r="N25" s="13" t="str">
        <f ca="1">IF(M25="Finalizado","",IF(K25&lt;Hoy!$C$4,"Vencida",IF(AND(J25&lt;=Hoy!$C$4,M25="No iniciado"),"Sin iniciar","")))</f>
        <v/>
      </c>
      <c r="O25" s="18"/>
      <c r="P25" s="19" t="str">
        <f t="shared" si="10"/>
        <v/>
      </c>
      <c r="Q25" s="19" t="str">
        <f t="shared" si="10"/>
        <v/>
      </c>
      <c r="R25" s="19" t="str">
        <f t="shared" si="10"/>
        <v/>
      </c>
      <c r="S25" s="19" t="str">
        <f t="shared" si="10"/>
        <v/>
      </c>
      <c r="T25" s="19" t="str">
        <f t="shared" si="10"/>
        <v/>
      </c>
      <c r="U25" s="19" t="str">
        <f t="shared" si="10"/>
        <v/>
      </c>
      <c r="V25" s="19" t="str">
        <f t="shared" si="10"/>
        <v/>
      </c>
      <c r="W25" s="19" t="str">
        <f t="shared" si="10"/>
        <v/>
      </c>
      <c r="X25" s="19" t="str">
        <f t="shared" si="10"/>
        <v/>
      </c>
      <c r="Y25" s="19" t="str">
        <f t="shared" si="10"/>
        <v/>
      </c>
      <c r="Z25" s="19" t="str">
        <f t="shared" si="11"/>
        <v/>
      </c>
      <c r="AA25" s="19" t="str">
        <f t="shared" si="11"/>
        <v/>
      </c>
      <c r="AB25" s="19" t="str">
        <f t="shared" si="11"/>
        <v/>
      </c>
      <c r="AC25" s="19" t="str">
        <f t="shared" si="11"/>
        <v/>
      </c>
      <c r="AD25" s="19" t="str">
        <f t="shared" si="11"/>
        <v/>
      </c>
      <c r="AE25" s="19" t="str">
        <f t="shared" si="11"/>
        <v/>
      </c>
      <c r="AF25" s="19" t="str">
        <f t="shared" si="11"/>
        <v/>
      </c>
      <c r="AG25" s="19" t="str">
        <f t="shared" si="11"/>
        <v/>
      </c>
      <c r="AH25" s="19" t="str">
        <f t="shared" si="11"/>
        <v/>
      </c>
      <c r="AI25" s="19" t="str">
        <f t="shared" si="11"/>
        <v/>
      </c>
      <c r="AJ25" s="19" t="str">
        <f t="shared" si="12"/>
        <v/>
      </c>
      <c r="AK25" s="19" t="str">
        <f t="shared" si="12"/>
        <v/>
      </c>
      <c r="AL25" s="19" t="str">
        <f t="shared" si="12"/>
        <v/>
      </c>
      <c r="AM25" s="19" t="str">
        <f t="shared" si="12"/>
        <v/>
      </c>
      <c r="AN25" s="19" t="str">
        <f t="shared" si="12"/>
        <v/>
      </c>
      <c r="AO25" s="19" t="str">
        <f t="shared" si="12"/>
        <v/>
      </c>
      <c r="AP25" s="19" t="str">
        <f t="shared" si="12"/>
        <v/>
      </c>
      <c r="AQ25" s="19" t="str">
        <f t="shared" si="12"/>
        <v/>
      </c>
      <c r="AR25" s="19" t="str">
        <f t="shared" si="12"/>
        <v/>
      </c>
      <c r="AS25" s="19" t="str">
        <f t="shared" si="12"/>
        <v/>
      </c>
      <c r="AT25" s="19" t="str">
        <f t="shared" si="12"/>
        <v/>
      </c>
      <c r="AU25" s="19" t="str">
        <f t="shared" si="12"/>
        <v/>
      </c>
      <c r="AW25">
        <v>1</v>
      </c>
      <c r="AX25">
        <f ca="1">IF(AND(J25&lt;=Hoy!$C$4,K25&gt;=Hoy!$C$4),1,0)</f>
        <v>0</v>
      </c>
      <c r="AY25" t="str">
        <f ca="1">IF(AX25=1,SUM($AX$6:AX25),"")</f>
        <v/>
      </c>
      <c r="AZ25">
        <f t="shared" ca="1" si="13"/>
        <v>0</v>
      </c>
      <c r="BA25" t="str">
        <f ca="1">IF(AZ25=1,SUM($AZ$6:AZ25),"")</f>
        <v/>
      </c>
    </row>
    <row r="26" spans="1:53" ht="30" customHeight="1" outlineLevel="1" x14ac:dyDescent="0.3">
      <c r="A26" s="13" t="s">
        <v>124</v>
      </c>
      <c r="B26" s="14" t="s">
        <v>103</v>
      </c>
      <c r="C26" s="15" t="s">
        <v>125</v>
      </c>
      <c r="D26" s="13" t="s">
        <v>35</v>
      </c>
      <c r="E26" s="15" t="s">
        <v>126</v>
      </c>
      <c r="F26" s="14" t="s">
        <v>87</v>
      </c>
      <c r="G26" s="15" t="s">
        <v>108</v>
      </c>
      <c r="H26" s="15" t="s">
        <v>127</v>
      </c>
      <c r="I26" s="13" t="s">
        <v>40</v>
      </c>
      <c r="J26" s="16">
        <v>46324</v>
      </c>
      <c r="K26" s="16">
        <v>46330</v>
      </c>
      <c r="L26" s="13">
        <f t="shared" si="0"/>
        <v>7</v>
      </c>
      <c r="M26" s="17" t="s">
        <v>41</v>
      </c>
      <c r="N26" s="13" t="str">
        <f ca="1">IF(M26="Finalizado","",IF(K26&lt;Hoy!$C$4,"Vencida",IF(AND(J26&lt;=Hoy!$C$4,M26="No iniciado"),"Sin iniciar","")))</f>
        <v/>
      </c>
      <c r="O26" s="18"/>
      <c r="P26" s="19" t="str">
        <f t="shared" si="10"/>
        <v/>
      </c>
      <c r="Q26" s="19" t="str">
        <f t="shared" si="10"/>
        <v/>
      </c>
      <c r="R26" s="19" t="str">
        <f t="shared" si="10"/>
        <v/>
      </c>
      <c r="S26" s="19" t="str">
        <f t="shared" si="10"/>
        <v/>
      </c>
      <c r="T26" s="19" t="str">
        <f t="shared" si="10"/>
        <v/>
      </c>
      <c r="U26" s="19" t="str">
        <f t="shared" si="10"/>
        <v/>
      </c>
      <c r="V26" s="19" t="str">
        <f t="shared" si="10"/>
        <v/>
      </c>
      <c r="W26" s="19" t="str">
        <f t="shared" si="10"/>
        <v/>
      </c>
      <c r="X26" s="19" t="str">
        <f t="shared" si="10"/>
        <v/>
      </c>
      <c r="Y26" s="19" t="str">
        <f t="shared" si="10"/>
        <v/>
      </c>
      <c r="Z26" s="19" t="str">
        <f t="shared" si="11"/>
        <v/>
      </c>
      <c r="AA26" s="19" t="str">
        <f t="shared" si="11"/>
        <v/>
      </c>
      <c r="AB26" s="19" t="str">
        <f t="shared" si="11"/>
        <v/>
      </c>
      <c r="AC26" s="19" t="str">
        <f t="shared" si="11"/>
        <v/>
      </c>
      <c r="AD26" s="19" t="str">
        <f t="shared" si="11"/>
        <v/>
      </c>
      <c r="AE26" s="19" t="str">
        <f t="shared" si="11"/>
        <v/>
      </c>
      <c r="AF26" s="19" t="str">
        <f t="shared" si="11"/>
        <v/>
      </c>
      <c r="AG26" s="19" t="str">
        <f t="shared" si="11"/>
        <v/>
      </c>
      <c r="AH26" s="19" t="str">
        <f t="shared" si="11"/>
        <v/>
      </c>
      <c r="AI26" s="19" t="str">
        <f t="shared" si="11"/>
        <v/>
      </c>
      <c r="AJ26" s="19" t="str">
        <f t="shared" si="12"/>
        <v/>
      </c>
      <c r="AK26" s="19" t="str">
        <f t="shared" si="12"/>
        <v/>
      </c>
      <c r="AL26" s="19" t="str">
        <f t="shared" si="12"/>
        <v/>
      </c>
      <c r="AM26" s="19" t="str">
        <f t="shared" si="12"/>
        <v/>
      </c>
      <c r="AN26" s="19" t="str">
        <f t="shared" si="12"/>
        <v/>
      </c>
      <c r="AO26" s="19" t="str">
        <f t="shared" si="12"/>
        <v/>
      </c>
      <c r="AP26" s="19" t="str">
        <f t="shared" si="12"/>
        <v/>
      </c>
      <c r="AQ26" s="19" t="str">
        <f t="shared" si="12"/>
        <v/>
      </c>
      <c r="AR26" s="19" t="str">
        <f t="shared" si="12"/>
        <v/>
      </c>
      <c r="AS26" s="19" t="str">
        <f t="shared" si="12"/>
        <v/>
      </c>
      <c r="AT26" s="19" t="str">
        <f t="shared" si="12"/>
        <v/>
      </c>
      <c r="AU26" s="19" t="str">
        <f t="shared" si="12"/>
        <v/>
      </c>
      <c r="AW26">
        <v>1</v>
      </c>
      <c r="AX26">
        <f ca="1">IF(AND(J26&lt;=Hoy!$C$4,K26&gt;=Hoy!$C$4),1,0)</f>
        <v>0</v>
      </c>
      <c r="AY26" t="str">
        <f ca="1">IF(AX26=1,SUM($AX$6:AX26),"")</f>
        <v/>
      </c>
      <c r="AZ26">
        <f t="shared" ca="1" si="13"/>
        <v>0</v>
      </c>
      <c r="BA26" t="str">
        <f ca="1">IF(AZ26=1,SUM($AZ$6:AZ26),"")</f>
        <v/>
      </c>
    </row>
    <row r="27" spans="1:53" ht="30" customHeight="1" outlineLevel="1" x14ac:dyDescent="0.3">
      <c r="A27" s="13" t="s">
        <v>128</v>
      </c>
      <c r="B27" s="14" t="s">
        <v>103</v>
      </c>
      <c r="C27" s="20" t="s">
        <v>129</v>
      </c>
      <c r="D27" s="13" t="s">
        <v>78</v>
      </c>
      <c r="E27" s="15" t="s">
        <v>130</v>
      </c>
      <c r="F27" s="14" t="s">
        <v>87</v>
      </c>
      <c r="G27" s="15" t="s">
        <v>50</v>
      </c>
      <c r="H27" s="15" t="s">
        <v>131</v>
      </c>
      <c r="I27" s="13" t="s">
        <v>40</v>
      </c>
      <c r="J27" s="16">
        <v>46330</v>
      </c>
      <c r="K27" s="16">
        <v>46330</v>
      </c>
      <c r="L27" s="13">
        <f t="shared" si="0"/>
        <v>1</v>
      </c>
      <c r="M27" s="17" t="s">
        <v>41</v>
      </c>
      <c r="N27" s="13" t="str">
        <f ca="1">IF(M27="Finalizado","",IF(K27&lt;Hoy!$C$4,"Vencida",IF(AND(J27&lt;=Hoy!$C$4,M27="No iniciado"),"Sin iniciar","")))</f>
        <v/>
      </c>
      <c r="O27" s="18"/>
      <c r="P27" s="19" t="str">
        <f t="shared" si="10"/>
        <v/>
      </c>
      <c r="Q27" s="19" t="str">
        <f t="shared" si="10"/>
        <v/>
      </c>
      <c r="R27" s="19" t="str">
        <f t="shared" si="10"/>
        <v/>
      </c>
      <c r="S27" s="19" t="str">
        <f t="shared" si="10"/>
        <v/>
      </c>
      <c r="T27" s="19" t="str">
        <f t="shared" si="10"/>
        <v/>
      </c>
      <c r="U27" s="19" t="str">
        <f t="shared" si="10"/>
        <v/>
      </c>
      <c r="V27" s="19" t="str">
        <f t="shared" si="10"/>
        <v/>
      </c>
      <c r="W27" s="19" t="str">
        <f t="shared" si="10"/>
        <v/>
      </c>
      <c r="X27" s="19" t="str">
        <f t="shared" si="10"/>
        <v/>
      </c>
      <c r="Y27" s="19" t="str">
        <f t="shared" si="10"/>
        <v/>
      </c>
      <c r="Z27" s="19" t="str">
        <f t="shared" si="11"/>
        <v/>
      </c>
      <c r="AA27" s="19" t="str">
        <f t="shared" si="11"/>
        <v/>
      </c>
      <c r="AB27" s="19" t="str">
        <f t="shared" si="11"/>
        <v/>
      </c>
      <c r="AC27" s="19" t="str">
        <f t="shared" si="11"/>
        <v/>
      </c>
      <c r="AD27" s="19" t="str">
        <f t="shared" si="11"/>
        <v/>
      </c>
      <c r="AE27" s="19" t="str">
        <f t="shared" si="11"/>
        <v>◆</v>
      </c>
      <c r="AF27" s="19" t="str">
        <f t="shared" si="11"/>
        <v/>
      </c>
      <c r="AG27" s="19" t="str">
        <f t="shared" si="11"/>
        <v/>
      </c>
      <c r="AH27" s="19" t="str">
        <f t="shared" si="11"/>
        <v/>
      </c>
      <c r="AI27" s="19" t="str">
        <f t="shared" si="11"/>
        <v/>
      </c>
      <c r="AJ27" s="19" t="str">
        <f t="shared" si="12"/>
        <v/>
      </c>
      <c r="AK27" s="19" t="str">
        <f t="shared" si="12"/>
        <v/>
      </c>
      <c r="AL27" s="19" t="str">
        <f t="shared" si="12"/>
        <v/>
      </c>
      <c r="AM27" s="19" t="str">
        <f t="shared" si="12"/>
        <v/>
      </c>
      <c r="AN27" s="19" t="str">
        <f t="shared" si="12"/>
        <v/>
      </c>
      <c r="AO27" s="19" t="str">
        <f t="shared" si="12"/>
        <v/>
      </c>
      <c r="AP27" s="19" t="str">
        <f t="shared" si="12"/>
        <v/>
      </c>
      <c r="AQ27" s="19" t="str">
        <f t="shared" si="12"/>
        <v/>
      </c>
      <c r="AR27" s="19" t="str">
        <f t="shared" si="12"/>
        <v/>
      </c>
      <c r="AS27" s="19" t="str">
        <f t="shared" si="12"/>
        <v/>
      </c>
      <c r="AT27" s="19" t="str">
        <f t="shared" si="12"/>
        <v/>
      </c>
      <c r="AU27" s="19" t="str">
        <f t="shared" si="12"/>
        <v/>
      </c>
      <c r="AW27">
        <v>1</v>
      </c>
      <c r="AX27">
        <f ca="1">IF(AND(J27&lt;=Hoy!$C$4,K27&gt;=Hoy!$C$4),1,0)</f>
        <v>0</v>
      </c>
      <c r="AY27" t="str">
        <f ca="1">IF(AX27=1,SUM($AX$6:AX27),"")</f>
        <v/>
      </c>
      <c r="AZ27">
        <f t="shared" ca="1" si="13"/>
        <v>0</v>
      </c>
      <c r="BA27" t="str">
        <f ca="1">IF(AZ27=1,SUM($AZ$6:AZ27),"")</f>
        <v/>
      </c>
    </row>
    <row r="28" spans="1:53" ht="18" customHeight="1" x14ac:dyDescent="0.3">
      <c r="A28" s="9" t="s">
        <v>132</v>
      </c>
      <c r="B28" s="10" t="s">
        <v>133</v>
      </c>
      <c r="C28" s="10" t="s">
        <v>134</v>
      </c>
      <c r="D28" s="9" t="s">
        <v>11</v>
      </c>
      <c r="E28" s="10"/>
      <c r="F28" s="9"/>
      <c r="G28" s="10"/>
      <c r="H28" s="10"/>
      <c r="I28" s="9"/>
      <c r="J28" s="11">
        <f>MIN(J29:J31)</f>
        <v>46329</v>
      </c>
      <c r="K28" s="11">
        <f>MAX(K29:K31)</f>
        <v>46332</v>
      </c>
      <c r="L28" s="9">
        <f t="shared" si="0"/>
        <v>4</v>
      </c>
      <c r="M28" s="9" t="str">
        <f ca="1">IF(COUNTIF(M29:M31,"Finalizado")=ROWS(M29:M31),"Finalizado",IF(OR(COUNTIF(M29:M31,"Demorado")&gt;0,COUNTIF(N29:N31,"Vencida")&gt;0),"Demorado",IF(COUNTIF(M29:M31,"En curso")+COUNTIF(M29:M31,"Finalizado")&gt;0,"En curso","No iniciado")))</f>
        <v>No iniciado</v>
      </c>
      <c r="N28" s="9" t="str">
        <f ca="1">IF(COUNTIF(N29:N31,"Vencida")&gt;0,COUNTIF(N29:N31,"Vencida")&amp;" vencida(s)","")</f>
        <v/>
      </c>
      <c r="O28" s="10" t="str">
        <f>COUNTIF(M29:M31,"Finalizado")&amp;" de "&amp;ROWS(M29:M31)&amp;" finalizadas"</f>
        <v>0 de 3 finalizadas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W28">
        <v>0</v>
      </c>
    </row>
    <row r="29" spans="1:53" ht="30" customHeight="1" outlineLevel="1" x14ac:dyDescent="0.3">
      <c r="A29" s="13" t="s">
        <v>135</v>
      </c>
      <c r="B29" s="14" t="s">
        <v>133</v>
      </c>
      <c r="C29" s="15" t="s">
        <v>136</v>
      </c>
      <c r="D29" s="13" t="s">
        <v>35</v>
      </c>
      <c r="E29" s="15" t="s">
        <v>137</v>
      </c>
      <c r="F29" s="14" t="s">
        <v>64</v>
      </c>
      <c r="G29" s="15" t="s">
        <v>138</v>
      </c>
      <c r="H29" s="15" t="s">
        <v>139</v>
      </c>
      <c r="I29" s="13" t="s">
        <v>40</v>
      </c>
      <c r="J29" s="16">
        <v>46329</v>
      </c>
      <c r="K29" s="16">
        <v>46332</v>
      </c>
      <c r="L29" s="13">
        <f t="shared" si="0"/>
        <v>4</v>
      </c>
      <c r="M29" s="17" t="s">
        <v>41</v>
      </c>
      <c r="N29" s="13" t="str">
        <f ca="1">IF(M29="Finalizado","",IF(K29&lt;Hoy!$C$4,"Vencida",IF(AND(J29&lt;=Hoy!$C$4,M29="No iniciado"),"Sin iniciar","")))</f>
        <v/>
      </c>
      <c r="O29" s="18"/>
      <c r="P29" s="19" t="str">
        <f t="shared" ref="P29:Y31" si="14">IF(AND($D29="Hito",P$5=$J29),"◆","")</f>
        <v/>
      </c>
      <c r="Q29" s="19" t="str">
        <f t="shared" si="14"/>
        <v/>
      </c>
      <c r="R29" s="19" t="str">
        <f t="shared" si="14"/>
        <v/>
      </c>
      <c r="S29" s="19" t="str">
        <f t="shared" si="14"/>
        <v/>
      </c>
      <c r="T29" s="19" t="str">
        <f t="shared" si="14"/>
        <v/>
      </c>
      <c r="U29" s="19" t="str">
        <f t="shared" si="14"/>
        <v/>
      </c>
      <c r="V29" s="19" t="str">
        <f t="shared" si="14"/>
        <v/>
      </c>
      <c r="W29" s="19" t="str">
        <f t="shared" si="14"/>
        <v/>
      </c>
      <c r="X29" s="19" t="str">
        <f t="shared" si="14"/>
        <v/>
      </c>
      <c r="Y29" s="19" t="str">
        <f t="shared" si="14"/>
        <v/>
      </c>
      <c r="Z29" s="19" t="str">
        <f t="shared" ref="Z29:AI31" si="15">IF(AND($D29="Hito",Z$5=$J29),"◆","")</f>
        <v/>
      </c>
      <c r="AA29" s="19" t="str">
        <f t="shared" si="15"/>
        <v/>
      </c>
      <c r="AB29" s="19" t="str">
        <f t="shared" si="15"/>
        <v/>
      </c>
      <c r="AC29" s="19" t="str">
        <f t="shared" si="15"/>
        <v/>
      </c>
      <c r="AD29" s="19" t="str">
        <f t="shared" si="15"/>
        <v/>
      </c>
      <c r="AE29" s="19" t="str">
        <f t="shared" si="15"/>
        <v/>
      </c>
      <c r="AF29" s="19" t="str">
        <f t="shared" si="15"/>
        <v/>
      </c>
      <c r="AG29" s="19" t="str">
        <f t="shared" si="15"/>
        <v/>
      </c>
      <c r="AH29" s="19" t="str">
        <f t="shared" si="15"/>
        <v/>
      </c>
      <c r="AI29" s="19" t="str">
        <f t="shared" si="15"/>
        <v/>
      </c>
      <c r="AJ29" s="19" t="str">
        <f t="shared" ref="AJ29:AU31" si="16">IF(AND($D29="Hito",AJ$5=$J29),"◆","")</f>
        <v/>
      </c>
      <c r="AK29" s="19" t="str">
        <f t="shared" si="16"/>
        <v/>
      </c>
      <c r="AL29" s="19" t="str">
        <f t="shared" si="16"/>
        <v/>
      </c>
      <c r="AM29" s="19" t="str">
        <f t="shared" si="16"/>
        <v/>
      </c>
      <c r="AN29" s="19" t="str">
        <f t="shared" si="16"/>
        <v/>
      </c>
      <c r="AO29" s="19" t="str">
        <f t="shared" si="16"/>
        <v/>
      </c>
      <c r="AP29" s="19" t="str">
        <f t="shared" si="16"/>
        <v/>
      </c>
      <c r="AQ29" s="19" t="str">
        <f t="shared" si="16"/>
        <v/>
      </c>
      <c r="AR29" s="19" t="str">
        <f t="shared" si="16"/>
        <v/>
      </c>
      <c r="AS29" s="19" t="str">
        <f t="shared" si="16"/>
        <v/>
      </c>
      <c r="AT29" s="19" t="str">
        <f t="shared" si="16"/>
        <v/>
      </c>
      <c r="AU29" s="19" t="str">
        <f t="shared" si="16"/>
        <v/>
      </c>
      <c r="AW29">
        <v>1</v>
      </c>
      <c r="AX29">
        <f ca="1">IF(AND(J29&lt;=Hoy!$C$4,K29&gt;=Hoy!$C$4),1,0)</f>
        <v>0</v>
      </c>
      <c r="AY29" t="str">
        <f ca="1">IF(AX29=1,SUM($AX$6:AX29),"")</f>
        <v/>
      </c>
      <c r="AZ29">
        <f ca="1">IF(N29="Vencida",1,0)</f>
        <v>0</v>
      </c>
      <c r="BA29" t="str">
        <f ca="1">IF(AZ29=1,SUM($AZ$6:AZ29),"")</f>
        <v/>
      </c>
    </row>
    <row r="30" spans="1:53" ht="30" customHeight="1" outlineLevel="1" x14ac:dyDescent="0.3">
      <c r="A30" s="13" t="s">
        <v>140</v>
      </c>
      <c r="B30" s="14" t="s">
        <v>133</v>
      </c>
      <c r="C30" s="15" t="s">
        <v>141</v>
      </c>
      <c r="D30" s="13" t="s">
        <v>35</v>
      </c>
      <c r="E30" s="15" t="s">
        <v>142</v>
      </c>
      <c r="F30" s="14" t="s">
        <v>117</v>
      </c>
      <c r="G30" s="15" t="s">
        <v>118</v>
      </c>
      <c r="H30" s="15" t="s">
        <v>96</v>
      </c>
      <c r="I30" s="13" t="s">
        <v>40</v>
      </c>
      <c r="J30" s="16">
        <v>46329</v>
      </c>
      <c r="K30" s="16">
        <v>46332</v>
      </c>
      <c r="L30" s="13">
        <f t="shared" si="0"/>
        <v>4</v>
      </c>
      <c r="M30" s="17" t="s">
        <v>41</v>
      </c>
      <c r="N30" s="13" t="str">
        <f ca="1">IF(M30="Finalizado","",IF(K30&lt;Hoy!$C$4,"Vencida",IF(AND(J30&lt;=Hoy!$C$4,M30="No iniciado"),"Sin iniciar","")))</f>
        <v/>
      </c>
      <c r="O30" s="18"/>
      <c r="P30" s="19" t="str">
        <f t="shared" si="14"/>
        <v/>
      </c>
      <c r="Q30" s="19" t="str">
        <f t="shared" si="14"/>
        <v/>
      </c>
      <c r="R30" s="19" t="str">
        <f t="shared" si="14"/>
        <v/>
      </c>
      <c r="S30" s="19" t="str">
        <f t="shared" si="14"/>
        <v/>
      </c>
      <c r="T30" s="19" t="str">
        <f t="shared" si="14"/>
        <v/>
      </c>
      <c r="U30" s="19" t="str">
        <f t="shared" si="14"/>
        <v/>
      </c>
      <c r="V30" s="19" t="str">
        <f t="shared" si="14"/>
        <v/>
      </c>
      <c r="W30" s="19" t="str">
        <f t="shared" si="14"/>
        <v/>
      </c>
      <c r="X30" s="19" t="str">
        <f t="shared" si="14"/>
        <v/>
      </c>
      <c r="Y30" s="19" t="str">
        <f t="shared" si="14"/>
        <v/>
      </c>
      <c r="Z30" s="19" t="str">
        <f t="shared" si="15"/>
        <v/>
      </c>
      <c r="AA30" s="19" t="str">
        <f t="shared" si="15"/>
        <v/>
      </c>
      <c r="AB30" s="19" t="str">
        <f t="shared" si="15"/>
        <v/>
      </c>
      <c r="AC30" s="19" t="str">
        <f t="shared" si="15"/>
        <v/>
      </c>
      <c r="AD30" s="19" t="str">
        <f t="shared" si="15"/>
        <v/>
      </c>
      <c r="AE30" s="19" t="str">
        <f t="shared" si="15"/>
        <v/>
      </c>
      <c r="AF30" s="19" t="str">
        <f t="shared" si="15"/>
        <v/>
      </c>
      <c r="AG30" s="19" t="str">
        <f t="shared" si="15"/>
        <v/>
      </c>
      <c r="AH30" s="19" t="str">
        <f t="shared" si="15"/>
        <v/>
      </c>
      <c r="AI30" s="19" t="str">
        <f t="shared" si="15"/>
        <v/>
      </c>
      <c r="AJ30" s="19" t="str">
        <f t="shared" si="16"/>
        <v/>
      </c>
      <c r="AK30" s="19" t="str">
        <f t="shared" si="16"/>
        <v/>
      </c>
      <c r="AL30" s="19" t="str">
        <f t="shared" si="16"/>
        <v/>
      </c>
      <c r="AM30" s="19" t="str">
        <f t="shared" si="16"/>
        <v/>
      </c>
      <c r="AN30" s="19" t="str">
        <f t="shared" si="16"/>
        <v/>
      </c>
      <c r="AO30" s="19" t="str">
        <f t="shared" si="16"/>
        <v/>
      </c>
      <c r="AP30" s="19" t="str">
        <f t="shared" si="16"/>
        <v/>
      </c>
      <c r="AQ30" s="19" t="str">
        <f t="shared" si="16"/>
        <v/>
      </c>
      <c r="AR30" s="19" t="str">
        <f t="shared" si="16"/>
        <v/>
      </c>
      <c r="AS30" s="19" t="str">
        <f t="shared" si="16"/>
        <v/>
      </c>
      <c r="AT30" s="19" t="str">
        <f t="shared" si="16"/>
        <v/>
      </c>
      <c r="AU30" s="19" t="str">
        <f t="shared" si="16"/>
        <v/>
      </c>
      <c r="AW30">
        <v>1</v>
      </c>
      <c r="AX30">
        <f ca="1">IF(AND(J30&lt;=Hoy!$C$4,K30&gt;=Hoy!$C$4),1,0)</f>
        <v>0</v>
      </c>
      <c r="AY30" t="str">
        <f ca="1">IF(AX30=1,SUM($AX$6:AX30),"")</f>
        <v/>
      </c>
      <c r="AZ30">
        <f ca="1">IF(N30="Vencida",1,0)</f>
        <v>0</v>
      </c>
      <c r="BA30" t="str">
        <f ca="1">IF(AZ30=1,SUM($AZ$6:AZ30),"")</f>
        <v/>
      </c>
    </row>
    <row r="31" spans="1:53" ht="30" customHeight="1" outlineLevel="1" x14ac:dyDescent="0.3">
      <c r="A31" s="13" t="s">
        <v>143</v>
      </c>
      <c r="B31" s="14" t="s">
        <v>133</v>
      </c>
      <c r="C31" s="15" t="s">
        <v>144</v>
      </c>
      <c r="D31" s="13" t="s">
        <v>35</v>
      </c>
      <c r="E31" s="15" t="s">
        <v>145</v>
      </c>
      <c r="F31" s="14" t="s">
        <v>87</v>
      </c>
      <c r="G31" s="15" t="s">
        <v>146</v>
      </c>
      <c r="H31" s="15" t="s">
        <v>108</v>
      </c>
      <c r="I31" s="13" t="s">
        <v>40</v>
      </c>
      <c r="J31" s="16">
        <v>46329</v>
      </c>
      <c r="K31" s="16">
        <v>46332</v>
      </c>
      <c r="L31" s="13">
        <f t="shared" si="0"/>
        <v>4</v>
      </c>
      <c r="M31" s="17" t="s">
        <v>41</v>
      </c>
      <c r="N31" s="13" t="str">
        <f ca="1">IF(M31="Finalizado","",IF(K31&lt;Hoy!$C$4,"Vencida",IF(AND(J31&lt;=Hoy!$C$4,M31="No iniciado"),"Sin iniciar","")))</f>
        <v/>
      </c>
      <c r="O31" s="18"/>
      <c r="P31" s="19" t="str">
        <f t="shared" si="14"/>
        <v/>
      </c>
      <c r="Q31" s="19" t="str">
        <f t="shared" si="14"/>
        <v/>
      </c>
      <c r="R31" s="19" t="str">
        <f t="shared" si="14"/>
        <v/>
      </c>
      <c r="S31" s="19" t="str">
        <f t="shared" si="14"/>
        <v/>
      </c>
      <c r="T31" s="19" t="str">
        <f t="shared" si="14"/>
        <v/>
      </c>
      <c r="U31" s="19" t="str">
        <f t="shared" si="14"/>
        <v/>
      </c>
      <c r="V31" s="19" t="str">
        <f t="shared" si="14"/>
        <v/>
      </c>
      <c r="W31" s="19" t="str">
        <f t="shared" si="14"/>
        <v/>
      </c>
      <c r="X31" s="19" t="str">
        <f t="shared" si="14"/>
        <v/>
      </c>
      <c r="Y31" s="19" t="str">
        <f t="shared" si="14"/>
        <v/>
      </c>
      <c r="Z31" s="19" t="str">
        <f t="shared" si="15"/>
        <v/>
      </c>
      <c r="AA31" s="19" t="str">
        <f t="shared" si="15"/>
        <v/>
      </c>
      <c r="AB31" s="19" t="str">
        <f t="shared" si="15"/>
        <v/>
      </c>
      <c r="AC31" s="19" t="str">
        <f t="shared" si="15"/>
        <v/>
      </c>
      <c r="AD31" s="19" t="str">
        <f t="shared" si="15"/>
        <v/>
      </c>
      <c r="AE31" s="19" t="str">
        <f t="shared" si="15"/>
        <v/>
      </c>
      <c r="AF31" s="19" t="str">
        <f t="shared" si="15"/>
        <v/>
      </c>
      <c r="AG31" s="19" t="str">
        <f t="shared" si="15"/>
        <v/>
      </c>
      <c r="AH31" s="19" t="str">
        <f t="shared" si="15"/>
        <v/>
      </c>
      <c r="AI31" s="19" t="str">
        <f t="shared" si="15"/>
        <v/>
      </c>
      <c r="AJ31" s="19" t="str">
        <f t="shared" si="16"/>
        <v/>
      </c>
      <c r="AK31" s="19" t="str">
        <f t="shared" si="16"/>
        <v/>
      </c>
      <c r="AL31" s="19" t="str">
        <f t="shared" si="16"/>
        <v/>
      </c>
      <c r="AM31" s="19" t="str">
        <f t="shared" si="16"/>
        <v/>
      </c>
      <c r="AN31" s="19" t="str">
        <f t="shared" si="16"/>
        <v/>
      </c>
      <c r="AO31" s="19" t="str">
        <f t="shared" si="16"/>
        <v/>
      </c>
      <c r="AP31" s="19" t="str">
        <f t="shared" si="16"/>
        <v/>
      </c>
      <c r="AQ31" s="19" t="str">
        <f t="shared" si="16"/>
        <v/>
      </c>
      <c r="AR31" s="19" t="str">
        <f t="shared" si="16"/>
        <v/>
      </c>
      <c r="AS31" s="19" t="str">
        <f t="shared" si="16"/>
        <v/>
      </c>
      <c r="AT31" s="19" t="str">
        <f t="shared" si="16"/>
        <v/>
      </c>
      <c r="AU31" s="19" t="str">
        <f t="shared" si="16"/>
        <v/>
      </c>
      <c r="AW31">
        <v>1</v>
      </c>
      <c r="AX31">
        <f ca="1">IF(AND(J31&lt;=Hoy!$C$4,K31&gt;=Hoy!$C$4),1,0)</f>
        <v>0</v>
      </c>
      <c r="AY31" t="str">
        <f ca="1">IF(AX31=1,SUM($AX$6:AX31),"")</f>
        <v/>
      </c>
      <c r="AZ31">
        <f ca="1">IF(N31="Vencida",1,0)</f>
        <v>0</v>
      </c>
      <c r="BA31" t="str">
        <f ca="1">IF(AZ31=1,SUM($AZ$6:AZ31),"")</f>
        <v/>
      </c>
    </row>
    <row r="32" spans="1:53" ht="18" customHeight="1" x14ac:dyDescent="0.3">
      <c r="A32" s="9" t="s">
        <v>147</v>
      </c>
      <c r="B32" s="10" t="s">
        <v>148</v>
      </c>
      <c r="C32" s="10" t="s">
        <v>149</v>
      </c>
      <c r="D32" s="9" t="s">
        <v>11</v>
      </c>
      <c r="E32" s="10"/>
      <c r="F32" s="9"/>
      <c r="G32" s="10"/>
      <c r="H32" s="10"/>
      <c r="I32" s="9"/>
      <c r="J32" s="11">
        <f>MIN(J33:J40)</f>
        <v>46321</v>
      </c>
      <c r="K32" s="11">
        <f>MAX(K33:K40)</f>
        <v>46330</v>
      </c>
      <c r="L32" s="9">
        <f t="shared" si="0"/>
        <v>10</v>
      </c>
      <c r="M32" s="9" t="str">
        <f ca="1">IF(COUNTIF(M33:M40,"Finalizado")=ROWS(M33:M40),"Finalizado",IF(OR(COUNTIF(M33:M40,"Demorado")&gt;0,COUNTIF(N33:N40,"Vencida")&gt;0),"Demorado",IF(COUNTIF(M33:M40,"En curso")+COUNTIF(M33:M40,"Finalizado")&gt;0,"En curso","No iniciado")))</f>
        <v>En curso</v>
      </c>
      <c r="N32" s="9" t="str">
        <f ca="1">IF(COUNTIF(N33:N40,"Vencida")&gt;0,COUNTIF(N33:N40,"Vencida")&amp;" vencida(s)","")</f>
        <v/>
      </c>
      <c r="O32" s="10" t="str">
        <f>COUNTIF(M33:M40,"Finalizado")&amp;" de "&amp;ROWS(M33:M40)&amp;" finalizadas"</f>
        <v>0 de 8 finalizadas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W32">
        <v>0</v>
      </c>
    </row>
    <row r="33" spans="1:53" ht="30" customHeight="1" outlineLevel="1" x14ac:dyDescent="0.3">
      <c r="A33" s="13" t="s">
        <v>150</v>
      </c>
      <c r="B33" s="14" t="s">
        <v>148</v>
      </c>
      <c r="C33" s="15" t="s">
        <v>151</v>
      </c>
      <c r="D33" s="13" t="s">
        <v>35</v>
      </c>
      <c r="E33" s="15" t="s">
        <v>152</v>
      </c>
      <c r="F33" s="14" t="s">
        <v>64</v>
      </c>
      <c r="G33" s="15" t="s">
        <v>57</v>
      </c>
      <c r="H33" s="15" t="s">
        <v>57</v>
      </c>
      <c r="I33" s="13" t="s">
        <v>67</v>
      </c>
      <c r="J33" s="16">
        <v>46321</v>
      </c>
      <c r="K33" s="16">
        <v>46323</v>
      </c>
      <c r="L33" s="13">
        <f t="shared" si="0"/>
        <v>3</v>
      </c>
      <c r="M33" s="17" t="s">
        <v>68</v>
      </c>
      <c r="N33" s="13" t="str">
        <f ca="1">IF(M33="Finalizado","",IF(K33&lt;Hoy!$C$4,"Vencida",IF(AND(J33&lt;=Hoy!$C$4,M33="No iniciado"),"Sin iniciar","")))</f>
        <v/>
      </c>
      <c r="O33" s="18"/>
      <c r="P33" s="19" t="str">
        <f t="shared" ref="P33:Y40" si="17">IF(AND($D33="Hito",P$5=$J33),"◆","")</f>
        <v/>
      </c>
      <c r="Q33" s="19" t="str">
        <f t="shared" si="17"/>
        <v/>
      </c>
      <c r="R33" s="19" t="str">
        <f t="shared" si="17"/>
        <v/>
      </c>
      <c r="S33" s="19" t="str">
        <f t="shared" si="17"/>
        <v/>
      </c>
      <c r="T33" s="19" t="str">
        <f t="shared" si="17"/>
        <v/>
      </c>
      <c r="U33" s="19" t="str">
        <f t="shared" si="17"/>
        <v/>
      </c>
      <c r="V33" s="19" t="str">
        <f t="shared" si="17"/>
        <v/>
      </c>
      <c r="W33" s="19" t="str">
        <f t="shared" si="17"/>
        <v/>
      </c>
      <c r="X33" s="19" t="str">
        <f t="shared" si="17"/>
        <v/>
      </c>
      <c r="Y33" s="19" t="str">
        <f t="shared" si="17"/>
        <v/>
      </c>
      <c r="Z33" s="19" t="str">
        <f t="shared" ref="Z33:AI40" si="18">IF(AND($D33="Hito",Z$5=$J33),"◆","")</f>
        <v/>
      </c>
      <c r="AA33" s="19" t="str">
        <f t="shared" si="18"/>
        <v/>
      </c>
      <c r="AB33" s="19" t="str">
        <f t="shared" si="18"/>
        <v/>
      </c>
      <c r="AC33" s="19" t="str">
        <f t="shared" si="18"/>
        <v/>
      </c>
      <c r="AD33" s="19" t="str">
        <f t="shared" si="18"/>
        <v/>
      </c>
      <c r="AE33" s="19" t="str">
        <f t="shared" si="18"/>
        <v/>
      </c>
      <c r="AF33" s="19" t="str">
        <f t="shared" si="18"/>
        <v/>
      </c>
      <c r="AG33" s="19" t="str">
        <f t="shared" si="18"/>
        <v/>
      </c>
      <c r="AH33" s="19" t="str">
        <f t="shared" si="18"/>
        <v/>
      </c>
      <c r="AI33" s="19" t="str">
        <f t="shared" si="18"/>
        <v/>
      </c>
      <c r="AJ33" s="19" t="str">
        <f t="shared" ref="AJ33:AU40" si="19">IF(AND($D33="Hito",AJ$5=$J33),"◆","")</f>
        <v/>
      </c>
      <c r="AK33" s="19" t="str">
        <f t="shared" si="19"/>
        <v/>
      </c>
      <c r="AL33" s="19" t="str">
        <f t="shared" si="19"/>
        <v/>
      </c>
      <c r="AM33" s="19" t="str">
        <f t="shared" si="19"/>
        <v/>
      </c>
      <c r="AN33" s="19" t="str">
        <f t="shared" si="19"/>
        <v/>
      </c>
      <c r="AO33" s="19" t="str">
        <f t="shared" si="19"/>
        <v/>
      </c>
      <c r="AP33" s="19" t="str">
        <f t="shared" si="19"/>
        <v/>
      </c>
      <c r="AQ33" s="19" t="str">
        <f t="shared" si="19"/>
        <v/>
      </c>
      <c r="AR33" s="19" t="str">
        <f t="shared" si="19"/>
        <v/>
      </c>
      <c r="AS33" s="19" t="str">
        <f t="shared" si="19"/>
        <v/>
      </c>
      <c r="AT33" s="19" t="str">
        <f t="shared" si="19"/>
        <v/>
      </c>
      <c r="AU33" s="19" t="str">
        <f t="shared" si="19"/>
        <v/>
      </c>
      <c r="AW33">
        <v>1</v>
      </c>
      <c r="AX33">
        <f ca="1">IF(AND(J33&lt;=Hoy!$C$4,K33&gt;=Hoy!$C$4),1,0)</f>
        <v>1</v>
      </c>
      <c r="AY33">
        <f ca="1">IF(AX33=1,SUM($AX$6:AX33),"")</f>
        <v>5</v>
      </c>
      <c r="AZ33">
        <f t="shared" ref="AZ33:AZ40" ca="1" si="20">IF(N33="Vencida",1,0)</f>
        <v>0</v>
      </c>
      <c r="BA33" t="str">
        <f ca="1">IF(AZ33=1,SUM($AZ$6:AZ33),"")</f>
        <v/>
      </c>
    </row>
    <row r="34" spans="1:53" ht="30" customHeight="1" outlineLevel="1" x14ac:dyDescent="0.3">
      <c r="A34" s="13" t="s">
        <v>153</v>
      </c>
      <c r="B34" s="14" t="s">
        <v>148</v>
      </c>
      <c r="C34" s="15" t="s">
        <v>154</v>
      </c>
      <c r="D34" s="13" t="s">
        <v>35</v>
      </c>
      <c r="E34" s="15" t="s">
        <v>155</v>
      </c>
      <c r="F34" s="14" t="s">
        <v>74</v>
      </c>
      <c r="G34" s="15" t="s">
        <v>65</v>
      </c>
      <c r="H34" s="15" t="s">
        <v>156</v>
      </c>
      <c r="I34" s="13" t="s">
        <v>67</v>
      </c>
      <c r="J34" s="16">
        <v>46324</v>
      </c>
      <c r="K34" s="16">
        <v>46325</v>
      </c>
      <c r="L34" s="13">
        <f t="shared" si="0"/>
        <v>2</v>
      </c>
      <c r="M34" s="17" t="s">
        <v>41</v>
      </c>
      <c r="N34" s="13" t="str">
        <f ca="1">IF(M34="Finalizado","",IF(K34&lt;Hoy!$C$4,"Vencida",IF(AND(J34&lt;=Hoy!$C$4,M34="No iniciado"),"Sin iniciar","")))</f>
        <v/>
      </c>
      <c r="O34" s="18"/>
      <c r="P34" s="19" t="str">
        <f t="shared" si="17"/>
        <v/>
      </c>
      <c r="Q34" s="19" t="str">
        <f t="shared" si="17"/>
        <v/>
      </c>
      <c r="R34" s="19" t="str">
        <f t="shared" si="17"/>
        <v/>
      </c>
      <c r="S34" s="19" t="str">
        <f t="shared" si="17"/>
        <v/>
      </c>
      <c r="T34" s="19" t="str">
        <f t="shared" si="17"/>
        <v/>
      </c>
      <c r="U34" s="19" t="str">
        <f t="shared" si="17"/>
        <v/>
      </c>
      <c r="V34" s="19" t="str">
        <f t="shared" si="17"/>
        <v/>
      </c>
      <c r="W34" s="19" t="str">
        <f t="shared" si="17"/>
        <v/>
      </c>
      <c r="X34" s="19" t="str">
        <f t="shared" si="17"/>
        <v/>
      </c>
      <c r="Y34" s="19" t="str">
        <f t="shared" si="17"/>
        <v/>
      </c>
      <c r="Z34" s="19" t="str">
        <f t="shared" si="18"/>
        <v/>
      </c>
      <c r="AA34" s="19" t="str">
        <f t="shared" si="18"/>
        <v/>
      </c>
      <c r="AB34" s="19" t="str">
        <f t="shared" si="18"/>
        <v/>
      </c>
      <c r="AC34" s="19" t="str">
        <f t="shared" si="18"/>
        <v/>
      </c>
      <c r="AD34" s="19" t="str">
        <f t="shared" si="18"/>
        <v/>
      </c>
      <c r="AE34" s="19" t="str">
        <f t="shared" si="18"/>
        <v/>
      </c>
      <c r="AF34" s="19" t="str">
        <f t="shared" si="18"/>
        <v/>
      </c>
      <c r="AG34" s="19" t="str">
        <f t="shared" si="18"/>
        <v/>
      </c>
      <c r="AH34" s="19" t="str">
        <f t="shared" si="18"/>
        <v/>
      </c>
      <c r="AI34" s="19" t="str">
        <f t="shared" si="18"/>
        <v/>
      </c>
      <c r="AJ34" s="19" t="str">
        <f t="shared" si="19"/>
        <v/>
      </c>
      <c r="AK34" s="19" t="str">
        <f t="shared" si="19"/>
        <v/>
      </c>
      <c r="AL34" s="19" t="str">
        <f t="shared" si="19"/>
        <v/>
      </c>
      <c r="AM34" s="19" t="str">
        <f t="shared" si="19"/>
        <v/>
      </c>
      <c r="AN34" s="19" t="str">
        <f t="shared" si="19"/>
        <v/>
      </c>
      <c r="AO34" s="19" t="str">
        <f t="shared" si="19"/>
        <v/>
      </c>
      <c r="AP34" s="19" t="str">
        <f t="shared" si="19"/>
        <v/>
      </c>
      <c r="AQ34" s="19" t="str">
        <f t="shared" si="19"/>
        <v/>
      </c>
      <c r="AR34" s="19" t="str">
        <f t="shared" si="19"/>
        <v/>
      </c>
      <c r="AS34" s="19" t="str">
        <f t="shared" si="19"/>
        <v/>
      </c>
      <c r="AT34" s="19" t="str">
        <f t="shared" si="19"/>
        <v/>
      </c>
      <c r="AU34" s="19" t="str">
        <f t="shared" si="19"/>
        <v/>
      </c>
      <c r="AW34">
        <v>1</v>
      </c>
      <c r="AX34">
        <f ca="1">IF(AND(J34&lt;=Hoy!$C$4,K34&gt;=Hoy!$C$4),1,0)</f>
        <v>0</v>
      </c>
      <c r="AY34" t="str">
        <f ca="1">IF(AX34=1,SUM($AX$6:AX34),"")</f>
        <v/>
      </c>
      <c r="AZ34">
        <f t="shared" ca="1" si="20"/>
        <v>0</v>
      </c>
      <c r="BA34" t="str">
        <f ca="1">IF(AZ34=1,SUM($AZ$6:AZ34),"")</f>
        <v/>
      </c>
    </row>
    <row r="35" spans="1:53" ht="30" customHeight="1" outlineLevel="1" x14ac:dyDescent="0.3">
      <c r="A35" s="13" t="s">
        <v>157</v>
      </c>
      <c r="B35" s="14" t="s">
        <v>148</v>
      </c>
      <c r="C35" s="15" t="s">
        <v>158</v>
      </c>
      <c r="D35" s="13" t="s">
        <v>35</v>
      </c>
      <c r="E35" s="15" t="s">
        <v>159</v>
      </c>
      <c r="F35" s="14" t="s">
        <v>74</v>
      </c>
      <c r="G35" s="15" t="s">
        <v>65</v>
      </c>
      <c r="H35" s="15" t="s">
        <v>156</v>
      </c>
      <c r="I35" s="13" t="s">
        <v>67</v>
      </c>
      <c r="J35" s="16">
        <v>46324</v>
      </c>
      <c r="K35" s="16">
        <v>46325</v>
      </c>
      <c r="L35" s="13">
        <f t="shared" si="0"/>
        <v>2</v>
      </c>
      <c r="M35" s="17" t="s">
        <v>41</v>
      </c>
      <c r="N35" s="13" t="str">
        <f ca="1">IF(M35="Finalizado","",IF(K35&lt;Hoy!$C$4,"Vencida",IF(AND(J35&lt;=Hoy!$C$4,M35="No iniciado"),"Sin iniciar","")))</f>
        <v/>
      </c>
      <c r="O35" s="18"/>
      <c r="P35" s="19" t="str">
        <f t="shared" si="17"/>
        <v/>
      </c>
      <c r="Q35" s="19" t="str">
        <f t="shared" si="17"/>
        <v/>
      </c>
      <c r="R35" s="19" t="str">
        <f t="shared" si="17"/>
        <v/>
      </c>
      <c r="S35" s="19" t="str">
        <f t="shared" si="17"/>
        <v/>
      </c>
      <c r="T35" s="19" t="str">
        <f t="shared" si="17"/>
        <v/>
      </c>
      <c r="U35" s="19" t="str">
        <f t="shared" si="17"/>
        <v/>
      </c>
      <c r="V35" s="19" t="str">
        <f t="shared" si="17"/>
        <v/>
      </c>
      <c r="W35" s="19" t="str">
        <f t="shared" si="17"/>
        <v/>
      </c>
      <c r="X35" s="19" t="str">
        <f t="shared" si="17"/>
        <v/>
      </c>
      <c r="Y35" s="19" t="str">
        <f t="shared" si="17"/>
        <v/>
      </c>
      <c r="Z35" s="19" t="str">
        <f t="shared" si="18"/>
        <v/>
      </c>
      <c r="AA35" s="19" t="str">
        <f t="shared" si="18"/>
        <v/>
      </c>
      <c r="AB35" s="19" t="str">
        <f t="shared" si="18"/>
        <v/>
      </c>
      <c r="AC35" s="19" t="str">
        <f t="shared" si="18"/>
        <v/>
      </c>
      <c r="AD35" s="19" t="str">
        <f t="shared" si="18"/>
        <v/>
      </c>
      <c r="AE35" s="19" t="str">
        <f t="shared" si="18"/>
        <v/>
      </c>
      <c r="AF35" s="19" t="str">
        <f t="shared" si="18"/>
        <v/>
      </c>
      <c r="AG35" s="19" t="str">
        <f t="shared" si="18"/>
        <v/>
      </c>
      <c r="AH35" s="19" t="str">
        <f t="shared" si="18"/>
        <v/>
      </c>
      <c r="AI35" s="19" t="str">
        <f t="shared" si="18"/>
        <v/>
      </c>
      <c r="AJ35" s="19" t="str">
        <f t="shared" si="19"/>
        <v/>
      </c>
      <c r="AK35" s="19" t="str">
        <f t="shared" si="19"/>
        <v/>
      </c>
      <c r="AL35" s="19" t="str">
        <f t="shared" si="19"/>
        <v/>
      </c>
      <c r="AM35" s="19" t="str">
        <f t="shared" si="19"/>
        <v/>
      </c>
      <c r="AN35" s="19" t="str">
        <f t="shared" si="19"/>
        <v/>
      </c>
      <c r="AO35" s="19" t="str">
        <f t="shared" si="19"/>
        <v/>
      </c>
      <c r="AP35" s="19" t="str">
        <f t="shared" si="19"/>
        <v/>
      </c>
      <c r="AQ35" s="19" t="str">
        <f t="shared" si="19"/>
        <v/>
      </c>
      <c r="AR35" s="19" t="str">
        <f t="shared" si="19"/>
        <v/>
      </c>
      <c r="AS35" s="19" t="str">
        <f t="shared" si="19"/>
        <v/>
      </c>
      <c r="AT35" s="19" t="str">
        <f t="shared" si="19"/>
        <v/>
      </c>
      <c r="AU35" s="19" t="str">
        <f t="shared" si="19"/>
        <v/>
      </c>
      <c r="AW35">
        <v>1</v>
      </c>
      <c r="AX35">
        <f ca="1">IF(AND(J35&lt;=Hoy!$C$4,K35&gt;=Hoy!$C$4),1,0)</f>
        <v>0</v>
      </c>
      <c r="AY35" t="str">
        <f ca="1">IF(AX35=1,SUM($AX$6:AX35),"")</f>
        <v/>
      </c>
      <c r="AZ35">
        <f t="shared" ca="1" si="20"/>
        <v>0</v>
      </c>
      <c r="BA35" t="str">
        <f ca="1">IF(AZ35=1,SUM($AZ$6:AZ35),"")</f>
        <v/>
      </c>
    </row>
    <row r="36" spans="1:53" ht="30" customHeight="1" outlineLevel="1" x14ac:dyDescent="0.3">
      <c r="A36" s="13" t="s">
        <v>160</v>
      </c>
      <c r="B36" s="14" t="s">
        <v>148</v>
      </c>
      <c r="C36" s="15" t="s">
        <v>161</v>
      </c>
      <c r="D36" s="13" t="s">
        <v>35</v>
      </c>
      <c r="E36" s="15" t="s">
        <v>162</v>
      </c>
      <c r="F36" s="14" t="s">
        <v>74</v>
      </c>
      <c r="G36" s="15" t="s">
        <v>65</v>
      </c>
      <c r="H36" s="15" t="s">
        <v>156</v>
      </c>
      <c r="I36" s="13" t="s">
        <v>67</v>
      </c>
      <c r="J36" s="16">
        <v>46324</v>
      </c>
      <c r="K36" s="16">
        <v>46325</v>
      </c>
      <c r="L36" s="13">
        <f t="shared" si="0"/>
        <v>2</v>
      </c>
      <c r="M36" s="17" t="s">
        <v>41</v>
      </c>
      <c r="N36" s="13" t="str">
        <f ca="1">IF(M36="Finalizado","",IF(K36&lt;Hoy!$C$4,"Vencida",IF(AND(J36&lt;=Hoy!$C$4,M36="No iniciado"),"Sin iniciar","")))</f>
        <v/>
      </c>
      <c r="O36" s="18"/>
      <c r="P36" s="19" t="str">
        <f t="shared" si="17"/>
        <v/>
      </c>
      <c r="Q36" s="19" t="str">
        <f t="shared" si="17"/>
        <v/>
      </c>
      <c r="R36" s="19" t="str">
        <f t="shared" si="17"/>
        <v/>
      </c>
      <c r="S36" s="19" t="str">
        <f t="shared" si="17"/>
        <v/>
      </c>
      <c r="T36" s="19" t="str">
        <f t="shared" si="17"/>
        <v/>
      </c>
      <c r="U36" s="19" t="str">
        <f t="shared" si="17"/>
        <v/>
      </c>
      <c r="V36" s="19" t="str">
        <f t="shared" si="17"/>
        <v/>
      </c>
      <c r="W36" s="19" t="str">
        <f t="shared" si="17"/>
        <v/>
      </c>
      <c r="X36" s="19" t="str">
        <f t="shared" si="17"/>
        <v/>
      </c>
      <c r="Y36" s="19" t="str">
        <f t="shared" si="17"/>
        <v/>
      </c>
      <c r="Z36" s="19" t="str">
        <f t="shared" si="18"/>
        <v/>
      </c>
      <c r="AA36" s="19" t="str">
        <f t="shared" si="18"/>
        <v/>
      </c>
      <c r="AB36" s="19" t="str">
        <f t="shared" si="18"/>
        <v/>
      </c>
      <c r="AC36" s="19" t="str">
        <f t="shared" si="18"/>
        <v/>
      </c>
      <c r="AD36" s="19" t="str">
        <f t="shared" si="18"/>
        <v/>
      </c>
      <c r="AE36" s="19" t="str">
        <f t="shared" si="18"/>
        <v/>
      </c>
      <c r="AF36" s="19" t="str">
        <f t="shared" si="18"/>
        <v/>
      </c>
      <c r="AG36" s="19" t="str">
        <f t="shared" si="18"/>
        <v/>
      </c>
      <c r="AH36" s="19" t="str">
        <f t="shared" si="18"/>
        <v/>
      </c>
      <c r="AI36" s="19" t="str">
        <f t="shared" si="18"/>
        <v/>
      </c>
      <c r="AJ36" s="19" t="str">
        <f t="shared" si="19"/>
        <v/>
      </c>
      <c r="AK36" s="19" t="str">
        <f t="shared" si="19"/>
        <v/>
      </c>
      <c r="AL36" s="19" t="str">
        <f t="shared" si="19"/>
        <v/>
      </c>
      <c r="AM36" s="19" t="str">
        <f t="shared" si="19"/>
        <v/>
      </c>
      <c r="AN36" s="19" t="str">
        <f t="shared" si="19"/>
        <v/>
      </c>
      <c r="AO36" s="19" t="str">
        <f t="shared" si="19"/>
        <v/>
      </c>
      <c r="AP36" s="19" t="str">
        <f t="shared" si="19"/>
        <v/>
      </c>
      <c r="AQ36" s="19" t="str">
        <f t="shared" si="19"/>
        <v/>
      </c>
      <c r="AR36" s="19" t="str">
        <f t="shared" si="19"/>
        <v/>
      </c>
      <c r="AS36" s="19" t="str">
        <f t="shared" si="19"/>
        <v/>
      </c>
      <c r="AT36" s="19" t="str">
        <f t="shared" si="19"/>
        <v/>
      </c>
      <c r="AU36" s="19" t="str">
        <f t="shared" si="19"/>
        <v/>
      </c>
      <c r="AW36">
        <v>1</v>
      </c>
      <c r="AX36">
        <f ca="1">IF(AND(J36&lt;=Hoy!$C$4,K36&gt;=Hoy!$C$4),1,0)</f>
        <v>0</v>
      </c>
      <c r="AY36" t="str">
        <f ca="1">IF(AX36=1,SUM($AX$6:AX36),"")</f>
        <v/>
      </c>
      <c r="AZ36">
        <f t="shared" ca="1" si="20"/>
        <v>0</v>
      </c>
      <c r="BA36" t="str">
        <f ca="1">IF(AZ36=1,SUM($AZ$6:AZ36),"")</f>
        <v/>
      </c>
    </row>
    <row r="37" spans="1:53" ht="30" customHeight="1" outlineLevel="1" x14ac:dyDescent="0.3">
      <c r="A37" s="13" t="s">
        <v>163</v>
      </c>
      <c r="B37" s="14" t="s">
        <v>148</v>
      </c>
      <c r="C37" s="15" t="s">
        <v>164</v>
      </c>
      <c r="D37" s="13" t="s">
        <v>35</v>
      </c>
      <c r="E37" s="15" t="s">
        <v>165</v>
      </c>
      <c r="F37" s="14" t="s">
        <v>74</v>
      </c>
      <c r="G37" s="15" t="s">
        <v>65</v>
      </c>
      <c r="H37" s="15" t="s">
        <v>166</v>
      </c>
      <c r="I37" s="13" t="s">
        <v>67</v>
      </c>
      <c r="J37" s="16">
        <v>46324</v>
      </c>
      <c r="K37" s="16">
        <v>46325</v>
      </c>
      <c r="L37" s="13">
        <f t="shared" ref="L37:L63" si="21">K37-J37+1</f>
        <v>2</v>
      </c>
      <c r="M37" s="17" t="s">
        <v>41</v>
      </c>
      <c r="N37" s="13" t="str">
        <f ca="1">IF(M37="Finalizado","",IF(K37&lt;Hoy!$C$4,"Vencida",IF(AND(J37&lt;=Hoy!$C$4,M37="No iniciado"),"Sin iniciar","")))</f>
        <v/>
      </c>
      <c r="O37" s="18"/>
      <c r="P37" s="19" t="str">
        <f t="shared" si="17"/>
        <v/>
      </c>
      <c r="Q37" s="19" t="str">
        <f t="shared" si="17"/>
        <v/>
      </c>
      <c r="R37" s="19" t="str">
        <f t="shared" si="17"/>
        <v/>
      </c>
      <c r="S37" s="19" t="str">
        <f t="shared" si="17"/>
        <v/>
      </c>
      <c r="T37" s="19" t="str">
        <f t="shared" si="17"/>
        <v/>
      </c>
      <c r="U37" s="19" t="str">
        <f t="shared" si="17"/>
        <v/>
      </c>
      <c r="V37" s="19" t="str">
        <f t="shared" si="17"/>
        <v/>
      </c>
      <c r="W37" s="19" t="str">
        <f t="shared" si="17"/>
        <v/>
      </c>
      <c r="X37" s="19" t="str">
        <f t="shared" si="17"/>
        <v/>
      </c>
      <c r="Y37" s="19" t="str">
        <f t="shared" si="17"/>
        <v/>
      </c>
      <c r="Z37" s="19" t="str">
        <f t="shared" si="18"/>
        <v/>
      </c>
      <c r="AA37" s="19" t="str">
        <f t="shared" si="18"/>
        <v/>
      </c>
      <c r="AB37" s="19" t="str">
        <f t="shared" si="18"/>
        <v/>
      </c>
      <c r="AC37" s="19" t="str">
        <f t="shared" si="18"/>
        <v/>
      </c>
      <c r="AD37" s="19" t="str">
        <f t="shared" si="18"/>
        <v/>
      </c>
      <c r="AE37" s="19" t="str">
        <f t="shared" si="18"/>
        <v/>
      </c>
      <c r="AF37" s="19" t="str">
        <f t="shared" si="18"/>
        <v/>
      </c>
      <c r="AG37" s="19" t="str">
        <f t="shared" si="18"/>
        <v/>
      </c>
      <c r="AH37" s="19" t="str">
        <f t="shared" si="18"/>
        <v/>
      </c>
      <c r="AI37" s="19" t="str">
        <f t="shared" si="18"/>
        <v/>
      </c>
      <c r="AJ37" s="19" t="str">
        <f t="shared" si="19"/>
        <v/>
      </c>
      <c r="AK37" s="19" t="str">
        <f t="shared" si="19"/>
        <v/>
      </c>
      <c r="AL37" s="19" t="str">
        <f t="shared" si="19"/>
        <v/>
      </c>
      <c r="AM37" s="19" t="str">
        <f t="shared" si="19"/>
        <v/>
      </c>
      <c r="AN37" s="19" t="str">
        <f t="shared" si="19"/>
        <v/>
      </c>
      <c r="AO37" s="19" t="str">
        <f t="shared" si="19"/>
        <v/>
      </c>
      <c r="AP37" s="19" t="str">
        <f t="shared" si="19"/>
        <v/>
      </c>
      <c r="AQ37" s="19" t="str">
        <f t="shared" si="19"/>
        <v/>
      </c>
      <c r="AR37" s="19" t="str">
        <f t="shared" si="19"/>
        <v/>
      </c>
      <c r="AS37" s="19" t="str">
        <f t="shared" si="19"/>
        <v/>
      </c>
      <c r="AT37" s="19" t="str">
        <f t="shared" si="19"/>
        <v/>
      </c>
      <c r="AU37" s="19" t="str">
        <f t="shared" si="19"/>
        <v/>
      </c>
      <c r="AW37">
        <v>1</v>
      </c>
      <c r="AX37">
        <f ca="1">IF(AND(J37&lt;=Hoy!$C$4,K37&gt;=Hoy!$C$4),1,0)</f>
        <v>0</v>
      </c>
      <c r="AY37" t="str">
        <f ca="1">IF(AX37=1,SUM($AX$6:AX37),"")</f>
        <v/>
      </c>
      <c r="AZ37">
        <f t="shared" ca="1" si="20"/>
        <v>0</v>
      </c>
      <c r="BA37" t="str">
        <f ca="1">IF(AZ37=1,SUM($AZ$6:AZ37),"")</f>
        <v/>
      </c>
    </row>
    <row r="38" spans="1:53" ht="30" customHeight="1" outlineLevel="1" x14ac:dyDescent="0.3">
      <c r="A38" s="13" t="s">
        <v>167</v>
      </c>
      <c r="B38" s="14" t="s">
        <v>148</v>
      </c>
      <c r="C38" s="15" t="s">
        <v>168</v>
      </c>
      <c r="D38" s="13" t="s">
        <v>35</v>
      </c>
      <c r="E38" s="15" t="s">
        <v>169</v>
      </c>
      <c r="F38" s="14" t="s">
        <v>87</v>
      </c>
      <c r="G38" s="15" t="s">
        <v>50</v>
      </c>
      <c r="H38" s="15" t="s">
        <v>170</v>
      </c>
      <c r="I38" s="13" t="s">
        <v>40</v>
      </c>
      <c r="J38" s="16">
        <v>46329</v>
      </c>
      <c r="K38" s="16">
        <v>46330</v>
      </c>
      <c r="L38" s="13">
        <f t="shared" si="21"/>
        <v>2</v>
      </c>
      <c r="M38" s="17" t="s">
        <v>41</v>
      </c>
      <c r="N38" s="13" t="str">
        <f ca="1">IF(M38="Finalizado","",IF(K38&lt;Hoy!$C$4,"Vencida",IF(AND(J38&lt;=Hoy!$C$4,M38="No iniciado"),"Sin iniciar","")))</f>
        <v/>
      </c>
      <c r="O38" s="18"/>
      <c r="P38" s="19" t="str">
        <f t="shared" si="17"/>
        <v/>
      </c>
      <c r="Q38" s="19" t="str">
        <f t="shared" si="17"/>
        <v/>
      </c>
      <c r="R38" s="19" t="str">
        <f t="shared" si="17"/>
        <v/>
      </c>
      <c r="S38" s="19" t="str">
        <f t="shared" si="17"/>
        <v/>
      </c>
      <c r="T38" s="19" t="str">
        <f t="shared" si="17"/>
        <v/>
      </c>
      <c r="U38" s="19" t="str">
        <f t="shared" si="17"/>
        <v/>
      </c>
      <c r="V38" s="19" t="str">
        <f t="shared" si="17"/>
        <v/>
      </c>
      <c r="W38" s="19" t="str">
        <f t="shared" si="17"/>
        <v/>
      </c>
      <c r="X38" s="19" t="str">
        <f t="shared" si="17"/>
        <v/>
      </c>
      <c r="Y38" s="19" t="str">
        <f t="shared" si="17"/>
        <v/>
      </c>
      <c r="Z38" s="19" t="str">
        <f t="shared" si="18"/>
        <v/>
      </c>
      <c r="AA38" s="19" t="str">
        <f t="shared" si="18"/>
        <v/>
      </c>
      <c r="AB38" s="19" t="str">
        <f t="shared" si="18"/>
        <v/>
      </c>
      <c r="AC38" s="19" t="str">
        <f t="shared" si="18"/>
        <v/>
      </c>
      <c r="AD38" s="19" t="str">
        <f t="shared" si="18"/>
        <v/>
      </c>
      <c r="AE38" s="19" t="str">
        <f t="shared" si="18"/>
        <v/>
      </c>
      <c r="AF38" s="19" t="str">
        <f t="shared" si="18"/>
        <v/>
      </c>
      <c r="AG38" s="19" t="str">
        <f t="shared" si="18"/>
        <v/>
      </c>
      <c r="AH38" s="19" t="str">
        <f t="shared" si="18"/>
        <v/>
      </c>
      <c r="AI38" s="19" t="str">
        <f t="shared" si="18"/>
        <v/>
      </c>
      <c r="AJ38" s="19" t="str">
        <f t="shared" si="19"/>
        <v/>
      </c>
      <c r="AK38" s="19" t="str">
        <f t="shared" si="19"/>
        <v/>
      </c>
      <c r="AL38" s="19" t="str">
        <f t="shared" si="19"/>
        <v/>
      </c>
      <c r="AM38" s="19" t="str">
        <f t="shared" si="19"/>
        <v/>
      </c>
      <c r="AN38" s="19" t="str">
        <f t="shared" si="19"/>
        <v/>
      </c>
      <c r="AO38" s="19" t="str">
        <f t="shared" si="19"/>
        <v/>
      </c>
      <c r="AP38" s="19" t="str">
        <f t="shared" si="19"/>
        <v/>
      </c>
      <c r="AQ38" s="19" t="str">
        <f t="shared" si="19"/>
        <v/>
      </c>
      <c r="AR38" s="19" t="str">
        <f t="shared" si="19"/>
        <v/>
      </c>
      <c r="AS38" s="19" t="str">
        <f t="shared" si="19"/>
        <v/>
      </c>
      <c r="AT38" s="19" t="str">
        <f t="shared" si="19"/>
        <v/>
      </c>
      <c r="AU38" s="19" t="str">
        <f t="shared" si="19"/>
        <v/>
      </c>
      <c r="AW38">
        <v>1</v>
      </c>
      <c r="AX38">
        <f ca="1">IF(AND(J38&lt;=Hoy!$C$4,K38&gt;=Hoy!$C$4),1,0)</f>
        <v>0</v>
      </c>
      <c r="AY38" t="str">
        <f ca="1">IF(AX38=1,SUM($AX$6:AX38),"")</f>
        <v/>
      </c>
      <c r="AZ38">
        <f t="shared" ca="1" si="20"/>
        <v>0</v>
      </c>
      <c r="BA38" t="str">
        <f ca="1">IF(AZ38=1,SUM($AZ$6:AZ38),"")</f>
        <v/>
      </c>
    </row>
    <row r="39" spans="1:53" ht="30" customHeight="1" outlineLevel="1" x14ac:dyDescent="0.3">
      <c r="A39" s="13" t="s">
        <v>171</v>
      </c>
      <c r="B39" s="14" t="s">
        <v>148</v>
      </c>
      <c r="C39" s="15" t="s">
        <v>172</v>
      </c>
      <c r="D39" s="13" t="s">
        <v>35</v>
      </c>
      <c r="E39" s="15" t="s">
        <v>173</v>
      </c>
      <c r="F39" s="14" t="s">
        <v>74</v>
      </c>
      <c r="G39" s="15" t="s">
        <v>65</v>
      </c>
      <c r="H39" s="15" t="s">
        <v>166</v>
      </c>
      <c r="I39" s="13" t="s">
        <v>67</v>
      </c>
      <c r="J39" s="16">
        <v>46329</v>
      </c>
      <c r="K39" s="16">
        <v>46330</v>
      </c>
      <c r="L39" s="13">
        <f t="shared" si="21"/>
        <v>2</v>
      </c>
      <c r="M39" s="17" t="s">
        <v>41</v>
      </c>
      <c r="N39" s="13" t="str">
        <f ca="1">IF(M39="Finalizado","",IF(K39&lt;Hoy!$C$4,"Vencida",IF(AND(J39&lt;=Hoy!$C$4,M39="No iniciado"),"Sin iniciar","")))</f>
        <v/>
      </c>
      <c r="O39" s="18"/>
      <c r="P39" s="19" t="str">
        <f t="shared" si="17"/>
        <v/>
      </c>
      <c r="Q39" s="19" t="str">
        <f t="shared" si="17"/>
        <v/>
      </c>
      <c r="R39" s="19" t="str">
        <f t="shared" si="17"/>
        <v/>
      </c>
      <c r="S39" s="19" t="str">
        <f t="shared" si="17"/>
        <v/>
      </c>
      <c r="T39" s="19" t="str">
        <f t="shared" si="17"/>
        <v/>
      </c>
      <c r="U39" s="19" t="str">
        <f t="shared" si="17"/>
        <v/>
      </c>
      <c r="V39" s="19" t="str">
        <f t="shared" si="17"/>
        <v/>
      </c>
      <c r="W39" s="19" t="str">
        <f t="shared" si="17"/>
        <v/>
      </c>
      <c r="X39" s="19" t="str">
        <f t="shared" si="17"/>
        <v/>
      </c>
      <c r="Y39" s="19" t="str">
        <f t="shared" si="17"/>
        <v/>
      </c>
      <c r="Z39" s="19" t="str">
        <f t="shared" si="18"/>
        <v/>
      </c>
      <c r="AA39" s="19" t="str">
        <f t="shared" si="18"/>
        <v/>
      </c>
      <c r="AB39" s="19" t="str">
        <f t="shared" si="18"/>
        <v/>
      </c>
      <c r="AC39" s="19" t="str">
        <f t="shared" si="18"/>
        <v/>
      </c>
      <c r="AD39" s="19" t="str">
        <f t="shared" si="18"/>
        <v/>
      </c>
      <c r="AE39" s="19" t="str">
        <f t="shared" si="18"/>
        <v/>
      </c>
      <c r="AF39" s="19" t="str">
        <f t="shared" si="18"/>
        <v/>
      </c>
      <c r="AG39" s="19" t="str">
        <f t="shared" si="18"/>
        <v/>
      </c>
      <c r="AH39" s="19" t="str">
        <f t="shared" si="18"/>
        <v/>
      </c>
      <c r="AI39" s="19" t="str">
        <f t="shared" si="18"/>
        <v/>
      </c>
      <c r="AJ39" s="19" t="str">
        <f t="shared" si="19"/>
        <v/>
      </c>
      <c r="AK39" s="19" t="str">
        <f t="shared" si="19"/>
        <v/>
      </c>
      <c r="AL39" s="19" t="str">
        <f t="shared" si="19"/>
        <v/>
      </c>
      <c r="AM39" s="19" t="str">
        <f t="shared" si="19"/>
        <v/>
      </c>
      <c r="AN39" s="19" t="str">
        <f t="shared" si="19"/>
        <v/>
      </c>
      <c r="AO39" s="19" t="str">
        <f t="shared" si="19"/>
        <v/>
      </c>
      <c r="AP39" s="19" t="str">
        <f t="shared" si="19"/>
        <v/>
      </c>
      <c r="AQ39" s="19" t="str">
        <f t="shared" si="19"/>
        <v/>
      </c>
      <c r="AR39" s="19" t="str">
        <f t="shared" si="19"/>
        <v/>
      </c>
      <c r="AS39" s="19" t="str">
        <f t="shared" si="19"/>
        <v/>
      </c>
      <c r="AT39" s="19" t="str">
        <f t="shared" si="19"/>
        <v/>
      </c>
      <c r="AU39" s="19" t="str">
        <f t="shared" si="19"/>
        <v/>
      </c>
      <c r="AW39">
        <v>1</v>
      </c>
      <c r="AX39">
        <f ca="1">IF(AND(J39&lt;=Hoy!$C$4,K39&gt;=Hoy!$C$4),1,0)</f>
        <v>0</v>
      </c>
      <c r="AY39" t="str">
        <f ca="1">IF(AX39=1,SUM($AX$6:AX39),"")</f>
        <v/>
      </c>
      <c r="AZ39">
        <f t="shared" ca="1" si="20"/>
        <v>0</v>
      </c>
      <c r="BA39" t="str">
        <f ca="1">IF(AZ39=1,SUM($AZ$6:AZ39),"")</f>
        <v/>
      </c>
    </row>
    <row r="40" spans="1:53" ht="30" customHeight="1" outlineLevel="1" x14ac:dyDescent="0.3">
      <c r="A40" s="13" t="s">
        <v>174</v>
      </c>
      <c r="B40" s="14" t="s">
        <v>148</v>
      </c>
      <c r="C40" s="20" t="s">
        <v>175</v>
      </c>
      <c r="D40" s="13" t="s">
        <v>78</v>
      </c>
      <c r="E40" s="15" t="s">
        <v>176</v>
      </c>
      <c r="F40" s="14" t="s">
        <v>87</v>
      </c>
      <c r="G40" s="15" t="s">
        <v>50</v>
      </c>
      <c r="H40" s="15" t="s">
        <v>177</v>
      </c>
      <c r="I40" s="13" t="s">
        <v>40</v>
      </c>
      <c r="J40" s="16">
        <v>46330</v>
      </c>
      <c r="K40" s="16">
        <v>46330</v>
      </c>
      <c r="L40" s="13">
        <f t="shared" si="21"/>
        <v>1</v>
      </c>
      <c r="M40" s="17" t="s">
        <v>41</v>
      </c>
      <c r="N40" s="13" t="str">
        <f ca="1">IF(M40="Finalizado","",IF(K40&lt;Hoy!$C$4,"Vencida",IF(AND(J40&lt;=Hoy!$C$4,M40="No iniciado"),"Sin iniciar","")))</f>
        <v/>
      </c>
      <c r="O40" s="18"/>
      <c r="P40" s="19" t="str">
        <f t="shared" si="17"/>
        <v/>
      </c>
      <c r="Q40" s="19" t="str">
        <f t="shared" si="17"/>
        <v/>
      </c>
      <c r="R40" s="19" t="str">
        <f t="shared" si="17"/>
        <v/>
      </c>
      <c r="S40" s="19" t="str">
        <f t="shared" si="17"/>
        <v/>
      </c>
      <c r="T40" s="19" t="str">
        <f t="shared" si="17"/>
        <v/>
      </c>
      <c r="U40" s="19" t="str">
        <f t="shared" si="17"/>
        <v/>
      </c>
      <c r="V40" s="19" t="str">
        <f t="shared" si="17"/>
        <v/>
      </c>
      <c r="W40" s="19" t="str">
        <f t="shared" si="17"/>
        <v/>
      </c>
      <c r="X40" s="19" t="str">
        <f t="shared" si="17"/>
        <v/>
      </c>
      <c r="Y40" s="19" t="str">
        <f t="shared" si="17"/>
        <v/>
      </c>
      <c r="Z40" s="19" t="str">
        <f t="shared" si="18"/>
        <v/>
      </c>
      <c r="AA40" s="19" t="str">
        <f t="shared" si="18"/>
        <v/>
      </c>
      <c r="AB40" s="19" t="str">
        <f t="shared" si="18"/>
        <v/>
      </c>
      <c r="AC40" s="19" t="str">
        <f t="shared" si="18"/>
        <v/>
      </c>
      <c r="AD40" s="19" t="str">
        <f t="shared" si="18"/>
        <v/>
      </c>
      <c r="AE40" s="19" t="str">
        <f t="shared" si="18"/>
        <v>◆</v>
      </c>
      <c r="AF40" s="19" t="str">
        <f t="shared" si="18"/>
        <v/>
      </c>
      <c r="AG40" s="19" t="str">
        <f t="shared" si="18"/>
        <v/>
      </c>
      <c r="AH40" s="19" t="str">
        <f t="shared" si="18"/>
        <v/>
      </c>
      <c r="AI40" s="19" t="str">
        <f t="shared" si="18"/>
        <v/>
      </c>
      <c r="AJ40" s="19" t="str">
        <f t="shared" si="19"/>
        <v/>
      </c>
      <c r="AK40" s="19" t="str">
        <f t="shared" si="19"/>
        <v/>
      </c>
      <c r="AL40" s="19" t="str">
        <f t="shared" si="19"/>
        <v/>
      </c>
      <c r="AM40" s="19" t="str">
        <f t="shared" si="19"/>
        <v/>
      </c>
      <c r="AN40" s="19" t="str">
        <f t="shared" si="19"/>
        <v/>
      </c>
      <c r="AO40" s="19" t="str">
        <f t="shared" si="19"/>
        <v/>
      </c>
      <c r="AP40" s="19" t="str">
        <f t="shared" si="19"/>
        <v/>
      </c>
      <c r="AQ40" s="19" t="str">
        <f t="shared" si="19"/>
        <v/>
      </c>
      <c r="AR40" s="19" t="str">
        <f t="shared" si="19"/>
        <v/>
      </c>
      <c r="AS40" s="19" t="str">
        <f t="shared" si="19"/>
        <v/>
      </c>
      <c r="AT40" s="19" t="str">
        <f t="shared" si="19"/>
        <v/>
      </c>
      <c r="AU40" s="19" t="str">
        <f t="shared" si="19"/>
        <v/>
      </c>
      <c r="AW40">
        <v>1</v>
      </c>
      <c r="AX40">
        <f ca="1">IF(AND(J40&lt;=Hoy!$C$4,K40&gt;=Hoy!$C$4),1,0)</f>
        <v>0</v>
      </c>
      <c r="AY40" t="str">
        <f ca="1">IF(AX40=1,SUM($AX$6:AX40),"")</f>
        <v/>
      </c>
      <c r="AZ40">
        <f t="shared" ca="1" si="20"/>
        <v>0</v>
      </c>
      <c r="BA40" t="str">
        <f ca="1">IF(AZ40=1,SUM($AZ$6:AZ40),"")</f>
        <v/>
      </c>
    </row>
    <row r="41" spans="1:53" ht="18" customHeight="1" x14ac:dyDescent="0.3">
      <c r="A41" s="9" t="s">
        <v>178</v>
      </c>
      <c r="B41" s="10" t="s">
        <v>179</v>
      </c>
      <c r="C41" s="10" t="s">
        <v>180</v>
      </c>
      <c r="D41" s="9" t="s">
        <v>11</v>
      </c>
      <c r="E41" s="10"/>
      <c r="F41" s="9"/>
      <c r="G41" s="10"/>
      <c r="H41" s="10"/>
      <c r="I41" s="9"/>
      <c r="J41" s="11">
        <f>MIN(J42:J47)</f>
        <v>46330</v>
      </c>
      <c r="K41" s="11">
        <f>MAX(K42:K47)</f>
        <v>46332</v>
      </c>
      <c r="L41" s="9">
        <f t="shared" si="21"/>
        <v>3</v>
      </c>
      <c r="M41" s="9" t="str">
        <f ca="1">IF(COUNTIF(M42:M47,"Finalizado")=ROWS(M42:M47),"Finalizado",IF(OR(COUNTIF(M42:M47,"Demorado")&gt;0,COUNTIF(N42:N47,"Vencida")&gt;0),"Demorado",IF(COUNTIF(M42:M47,"En curso")+COUNTIF(M42:M47,"Finalizado")&gt;0,"En curso","No iniciado")))</f>
        <v>No iniciado</v>
      </c>
      <c r="N41" s="9" t="str">
        <f ca="1">IF(COUNTIF(N42:N47,"Vencida")&gt;0,COUNTIF(N42:N47,"Vencida")&amp;" vencida(s)","")</f>
        <v/>
      </c>
      <c r="O41" s="10" t="str">
        <f>COUNTIF(M42:M47,"Finalizado")&amp;" de "&amp;ROWS(M42:M47)&amp;" finalizadas"</f>
        <v>0 de 6 finalizadas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W41">
        <v>0</v>
      </c>
    </row>
    <row r="42" spans="1:53" ht="30" customHeight="1" outlineLevel="1" x14ac:dyDescent="0.3">
      <c r="A42" s="13" t="s">
        <v>181</v>
      </c>
      <c r="B42" s="14" t="s">
        <v>179</v>
      </c>
      <c r="C42" s="15" t="s">
        <v>182</v>
      </c>
      <c r="D42" s="13" t="s">
        <v>35</v>
      </c>
      <c r="E42" s="15" t="s">
        <v>183</v>
      </c>
      <c r="F42" s="14" t="s">
        <v>87</v>
      </c>
      <c r="G42" s="15" t="s">
        <v>50</v>
      </c>
      <c r="H42" s="15" t="s">
        <v>184</v>
      </c>
      <c r="I42" s="13" t="s">
        <v>40</v>
      </c>
      <c r="J42" s="16">
        <v>46330</v>
      </c>
      <c r="K42" s="16">
        <v>46331</v>
      </c>
      <c r="L42" s="13">
        <f t="shared" si="21"/>
        <v>2</v>
      </c>
      <c r="M42" s="17" t="s">
        <v>41</v>
      </c>
      <c r="N42" s="13" t="str">
        <f ca="1">IF(M42="Finalizado","",IF(K42&lt;Hoy!$C$4,"Vencida",IF(AND(J42&lt;=Hoy!$C$4,M42="No iniciado"),"Sin iniciar","")))</f>
        <v/>
      </c>
      <c r="O42" s="18"/>
      <c r="P42" s="19" t="str">
        <f t="shared" ref="P42:Y47" si="22">IF(AND($D42="Hito",P$5=$J42),"◆","")</f>
        <v/>
      </c>
      <c r="Q42" s="19" t="str">
        <f t="shared" si="22"/>
        <v/>
      </c>
      <c r="R42" s="19" t="str">
        <f t="shared" si="22"/>
        <v/>
      </c>
      <c r="S42" s="19" t="str">
        <f t="shared" si="22"/>
        <v/>
      </c>
      <c r="T42" s="19" t="str">
        <f t="shared" si="22"/>
        <v/>
      </c>
      <c r="U42" s="19" t="str">
        <f t="shared" si="22"/>
        <v/>
      </c>
      <c r="V42" s="19" t="str">
        <f t="shared" si="22"/>
        <v/>
      </c>
      <c r="W42" s="19" t="str">
        <f t="shared" si="22"/>
        <v/>
      </c>
      <c r="X42" s="19" t="str">
        <f t="shared" si="22"/>
        <v/>
      </c>
      <c r="Y42" s="19" t="str">
        <f t="shared" si="22"/>
        <v/>
      </c>
      <c r="Z42" s="19" t="str">
        <f t="shared" ref="Z42:AI47" si="23">IF(AND($D42="Hito",Z$5=$J42),"◆","")</f>
        <v/>
      </c>
      <c r="AA42" s="19" t="str">
        <f t="shared" si="23"/>
        <v/>
      </c>
      <c r="AB42" s="19" t="str">
        <f t="shared" si="23"/>
        <v/>
      </c>
      <c r="AC42" s="19" t="str">
        <f t="shared" si="23"/>
        <v/>
      </c>
      <c r="AD42" s="19" t="str">
        <f t="shared" si="23"/>
        <v/>
      </c>
      <c r="AE42" s="19" t="str">
        <f t="shared" si="23"/>
        <v/>
      </c>
      <c r="AF42" s="19" t="str">
        <f t="shared" si="23"/>
        <v/>
      </c>
      <c r="AG42" s="19" t="str">
        <f t="shared" si="23"/>
        <v/>
      </c>
      <c r="AH42" s="19" t="str">
        <f t="shared" si="23"/>
        <v/>
      </c>
      <c r="AI42" s="19" t="str">
        <f t="shared" si="23"/>
        <v/>
      </c>
      <c r="AJ42" s="19" t="str">
        <f t="shared" ref="AJ42:AU47" si="24">IF(AND($D42="Hito",AJ$5=$J42),"◆","")</f>
        <v/>
      </c>
      <c r="AK42" s="19" t="str">
        <f t="shared" si="24"/>
        <v/>
      </c>
      <c r="AL42" s="19" t="str">
        <f t="shared" si="24"/>
        <v/>
      </c>
      <c r="AM42" s="19" t="str">
        <f t="shared" si="24"/>
        <v/>
      </c>
      <c r="AN42" s="19" t="str">
        <f t="shared" si="24"/>
        <v/>
      </c>
      <c r="AO42" s="19" t="str">
        <f t="shared" si="24"/>
        <v/>
      </c>
      <c r="AP42" s="19" t="str">
        <f t="shared" si="24"/>
        <v/>
      </c>
      <c r="AQ42" s="19" t="str">
        <f t="shared" si="24"/>
        <v/>
      </c>
      <c r="AR42" s="19" t="str">
        <f t="shared" si="24"/>
        <v/>
      </c>
      <c r="AS42" s="19" t="str">
        <f t="shared" si="24"/>
        <v/>
      </c>
      <c r="AT42" s="19" t="str">
        <f t="shared" si="24"/>
        <v/>
      </c>
      <c r="AU42" s="19" t="str">
        <f t="shared" si="24"/>
        <v/>
      </c>
      <c r="AW42">
        <v>1</v>
      </c>
      <c r="AX42">
        <f ca="1">IF(AND(J42&lt;=Hoy!$C$4,K42&gt;=Hoy!$C$4),1,0)</f>
        <v>0</v>
      </c>
      <c r="AY42" t="str">
        <f ca="1">IF(AX42=1,SUM($AX$6:AX42),"")</f>
        <v/>
      </c>
      <c r="AZ42">
        <f t="shared" ref="AZ42:AZ47" ca="1" si="25">IF(N42="Vencida",1,0)</f>
        <v>0</v>
      </c>
      <c r="BA42" t="str">
        <f ca="1">IF(AZ42=1,SUM($AZ$6:AZ42),"")</f>
        <v/>
      </c>
    </row>
    <row r="43" spans="1:53" ht="30" customHeight="1" outlineLevel="1" x14ac:dyDescent="0.3">
      <c r="A43" s="13" t="s">
        <v>185</v>
      </c>
      <c r="B43" s="14" t="s">
        <v>179</v>
      </c>
      <c r="C43" s="15" t="s">
        <v>186</v>
      </c>
      <c r="D43" s="13" t="s">
        <v>35</v>
      </c>
      <c r="E43" s="15" t="s">
        <v>187</v>
      </c>
      <c r="F43" s="14" t="s">
        <v>87</v>
      </c>
      <c r="G43" s="15" t="s">
        <v>50</v>
      </c>
      <c r="H43" s="15" t="s">
        <v>188</v>
      </c>
      <c r="I43" s="13" t="s">
        <v>40</v>
      </c>
      <c r="J43" s="16">
        <v>46331</v>
      </c>
      <c r="K43" s="16">
        <v>46331</v>
      </c>
      <c r="L43" s="13">
        <f t="shared" si="21"/>
        <v>1</v>
      </c>
      <c r="M43" s="17" t="s">
        <v>41</v>
      </c>
      <c r="N43" s="13" t="str">
        <f ca="1">IF(M43="Finalizado","",IF(K43&lt;Hoy!$C$4,"Vencida",IF(AND(J43&lt;=Hoy!$C$4,M43="No iniciado"),"Sin iniciar","")))</f>
        <v/>
      </c>
      <c r="O43" s="18"/>
      <c r="P43" s="19" t="str">
        <f t="shared" si="22"/>
        <v/>
      </c>
      <c r="Q43" s="19" t="str">
        <f t="shared" si="22"/>
        <v/>
      </c>
      <c r="R43" s="19" t="str">
        <f t="shared" si="22"/>
        <v/>
      </c>
      <c r="S43" s="19" t="str">
        <f t="shared" si="22"/>
        <v/>
      </c>
      <c r="T43" s="19" t="str">
        <f t="shared" si="22"/>
        <v/>
      </c>
      <c r="U43" s="19" t="str">
        <f t="shared" si="22"/>
        <v/>
      </c>
      <c r="V43" s="19" t="str">
        <f t="shared" si="22"/>
        <v/>
      </c>
      <c r="W43" s="19" t="str">
        <f t="shared" si="22"/>
        <v/>
      </c>
      <c r="X43" s="19" t="str">
        <f t="shared" si="22"/>
        <v/>
      </c>
      <c r="Y43" s="19" t="str">
        <f t="shared" si="22"/>
        <v/>
      </c>
      <c r="Z43" s="19" t="str">
        <f t="shared" si="23"/>
        <v/>
      </c>
      <c r="AA43" s="19" t="str">
        <f t="shared" si="23"/>
        <v/>
      </c>
      <c r="AB43" s="19" t="str">
        <f t="shared" si="23"/>
        <v/>
      </c>
      <c r="AC43" s="19" t="str">
        <f t="shared" si="23"/>
        <v/>
      </c>
      <c r="AD43" s="19" t="str">
        <f t="shared" si="23"/>
        <v/>
      </c>
      <c r="AE43" s="19" t="str">
        <f t="shared" si="23"/>
        <v/>
      </c>
      <c r="AF43" s="19" t="str">
        <f t="shared" si="23"/>
        <v/>
      </c>
      <c r="AG43" s="19" t="str">
        <f t="shared" si="23"/>
        <v/>
      </c>
      <c r="AH43" s="19" t="str">
        <f t="shared" si="23"/>
        <v/>
      </c>
      <c r="AI43" s="19" t="str">
        <f t="shared" si="23"/>
        <v/>
      </c>
      <c r="AJ43" s="19" t="str">
        <f t="shared" si="24"/>
        <v/>
      </c>
      <c r="AK43" s="19" t="str">
        <f t="shared" si="24"/>
        <v/>
      </c>
      <c r="AL43" s="19" t="str">
        <f t="shared" si="24"/>
        <v/>
      </c>
      <c r="AM43" s="19" t="str">
        <f t="shared" si="24"/>
        <v/>
      </c>
      <c r="AN43" s="19" t="str">
        <f t="shared" si="24"/>
        <v/>
      </c>
      <c r="AO43" s="19" t="str">
        <f t="shared" si="24"/>
        <v/>
      </c>
      <c r="AP43" s="19" t="str">
        <f t="shared" si="24"/>
        <v/>
      </c>
      <c r="AQ43" s="19" t="str">
        <f t="shared" si="24"/>
        <v/>
      </c>
      <c r="AR43" s="19" t="str">
        <f t="shared" si="24"/>
        <v/>
      </c>
      <c r="AS43" s="19" t="str">
        <f t="shared" si="24"/>
        <v/>
      </c>
      <c r="AT43" s="19" t="str">
        <f t="shared" si="24"/>
        <v/>
      </c>
      <c r="AU43" s="19" t="str">
        <f t="shared" si="24"/>
        <v/>
      </c>
      <c r="AW43">
        <v>1</v>
      </c>
      <c r="AX43">
        <f ca="1">IF(AND(J43&lt;=Hoy!$C$4,K43&gt;=Hoy!$C$4),1,0)</f>
        <v>0</v>
      </c>
      <c r="AY43" t="str">
        <f ca="1">IF(AX43=1,SUM($AX$6:AX43),"")</f>
        <v/>
      </c>
      <c r="AZ43">
        <f t="shared" ca="1" si="25"/>
        <v>0</v>
      </c>
      <c r="BA43" t="str">
        <f ca="1">IF(AZ43=1,SUM($AZ$6:AZ43),"")</f>
        <v/>
      </c>
    </row>
    <row r="44" spans="1:53" ht="30" customHeight="1" outlineLevel="1" x14ac:dyDescent="0.3">
      <c r="A44" s="13" t="s">
        <v>189</v>
      </c>
      <c r="B44" s="14" t="s">
        <v>179</v>
      </c>
      <c r="C44" s="15" t="s">
        <v>190</v>
      </c>
      <c r="D44" s="13" t="s">
        <v>35</v>
      </c>
      <c r="E44" s="15" t="s">
        <v>191</v>
      </c>
      <c r="F44" s="14" t="s">
        <v>117</v>
      </c>
      <c r="G44" s="15" t="s">
        <v>50</v>
      </c>
      <c r="H44" s="15" t="s">
        <v>192</v>
      </c>
      <c r="I44" s="13" t="s">
        <v>40</v>
      </c>
      <c r="J44" s="16">
        <v>46331</v>
      </c>
      <c r="K44" s="16">
        <v>46332</v>
      </c>
      <c r="L44" s="13">
        <f t="shared" si="21"/>
        <v>2</v>
      </c>
      <c r="M44" s="17" t="s">
        <v>41</v>
      </c>
      <c r="N44" s="13" t="str">
        <f ca="1">IF(M44="Finalizado","",IF(K44&lt;Hoy!$C$4,"Vencida",IF(AND(J44&lt;=Hoy!$C$4,M44="No iniciado"),"Sin iniciar","")))</f>
        <v/>
      </c>
      <c r="O44" s="18"/>
      <c r="P44" s="19" t="str">
        <f t="shared" si="22"/>
        <v/>
      </c>
      <c r="Q44" s="19" t="str">
        <f t="shared" si="22"/>
        <v/>
      </c>
      <c r="R44" s="19" t="str">
        <f t="shared" si="22"/>
        <v/>
      </c>
      <c r="S44" s="19" t="str">
        <f t="shared" si="22"/>
        <v/>
      </c>
      <c r="T44" s="19" t="str">
        <f t="shared" si="22"/>
        <v/>
      </c>
      <c r="U44" s="19" t="str">
        <f t="shared" si="22"/>
        <v/>
      </c>
      <c r="V44" s="19" t="str">
        <f t="shared" si="22"/>
        <v/>
      </c>
      <c r="W44" s="19" t="str">
        <f t="shared" si="22"/>
        <v/>
      </c>
      <c r="X44" s="19" t="str">
        <f t="shared" si="22"/>
        <v/>
      </c>
      <c r="Y44" s="19" t="str">
        <f t="shared" si="22"/>
        <v/>
      </c>
      <c r="Z44" s="19" t="str">
        <f t="shared" si="23"/>
        <v/>
      </c>
      <c r="AA44" s="19" t="str">
        <f t="shared" si="23"/>
        <v/>
      </c>
      <c r="AB44" s="19" t="str">
        <f t="shared" si="23"/>
        <v/>
      </c>
      <c r="AC44" s="19" t="str">
        <f t="shared" si="23"/>
        <v/>
      </c>
      <c r="AD44" s="19" t="str">
        <f t="shared" si="23"/>
        <v/>
      </c>
      <c r="AE44" s="19" t="str">
        <f t="shared" si="23"/>
        <v/>
      </c>
      <c r="AF44" s="19" t="str">
        <f t="shared" si="23"/>
        <v/>
      </c>
      <c r="AG44" s="19" t="str">
        <f t="shared" si="23"/>
        <v/>
      </c>
      <c r="AH44" s="19" t="str">
        <f t="shared" si="23"/>
        <v/>
      </c>
      <c r="AI44" s="19" t="str">
        <f t="shared" si="23"/>
        <v/>
      </c>
      <c r="AJ44" s="19" t="str">
        <f t="shared" si="24"/>
        <v/>
      </c>
      <c r="AK44" s="19" t="str">
        <f t="shared" si="24"/>
        <v/>
      </c>
      <c r="AL44" s="19" t="str">
        <f t="shared" si="24"/>
        <v/>
      </c>
      <c r="AM44" s="19" t="str">
        <f t="shared" si="24"/>
        <v/>
      </c>
      <c r="AN44" s="19" t="str">
        <f t="shared" si="24"/>
        <v/>
      </c>
      <c r="AO44" s="19" t="str">
        <f t="shared" si="24"/>
        <v/>
      </c>
      <c r="AP44" s="19" t="str">
        <f t="shared" si="24"/>
        <v/>
      </c>
      <c r="AQ44" s="19" t="str">
        <f t="shared" si="24"/>
        <v/>
      </c>
      <c r="AR44" s="19" t="str">
        <f t="shared" si="24"/>
        <v/>
      </c>
      <c r="AS44" s="19" t="str">
        <f t="shared" si="24"/>
        <v/>
      </c>
      <c r="AT44" s="19" t="str">
        <f t="shared" si="24"/>
        <v/>
      </c>
      <c r="AU44" s="19" t="str">
        <f t="shared" si="24"/>
        <v/>
      </c>
      <c r="AW44">
        <v>1</v>
      </c>
      <c r="AX44">
        <f ca="1">IF(AND(J44&lt;=Hoy!$C$4,K44&gt;=Hoy!$C$4),1,0)</f>
        <v>0</v>
      </c>
      <c r="AY44" t="str">
        <f ca="1">IF(AX44=1,SUM($AX$6:AX44),"")</f>
        <v/>
      </c>
      <c r="AZ44">
        <f t="shared" ca="1" si="25"/>
        <v>0</v>
      </c>
      <c r="BA44" t="str">
        <f ca="1">IF(AZ44=1,SUM($AZ$6:AZ44),"")</f>
        <v/>
      </c>
    </row>
    <row r="45" spans="1:53" ht="30" customHeight="1" outlineLevel="1" x14ac:dyDescent="0.3">
      <c r="A45" s="13" t="s">
        <v>193</v>
      </c>
      <c r="B45" s="14" t="s">
        <v>179</v>
      </c>
      <c r="C45" s="15" t="s">
        <v>194</v>
      </c>
      <c r="D45" s="13" t="s">
        <v>35</v>
      </c>
      <c r="E45" s="15" t="s">
        <v>195</v>
      </c>
      <c r="F45" s="14" t="s">
        <v>87</v>
      </c>
      <c r="G45" s="15" t="s">
        <v>50</v>
      </c>
      <c r="H45" s="15" t="s">
        <v>184</v>
      </c>
      <c r="I45" s="13" t="s">
        <v>40</v>
      </c>
      <c r="J45" s="16">
        <v>46331</v>
      </c>
      <c r="K45" s="16">
        <v>46332</v>
      </c>
      <c r="L45" s="13">
        <f t="shared" si="21"/>
        <v>2</v>
      </c>
      <c r="M45" s="17" t="s">
        <v>41</v>
      </c>
      <c r="N45" s="13" t="str">
        <f ca="1">IF(M45="Finalizado","",IF(K45&lt;Hoy!$C$4,"Vencida",IF(AND(J45&lt;=Hoy!$C$4,M45="No iniciado"),"Sin iniciar","")))</f>
        <v/>
      </c>
      <c r="O45" s="18"/>
      <c r="P45" s="19" t="str">
        <f t="shared" si="22"/>
        <v/>
      </c>
      <c r="Q45" s="19" t="str">
        <f t="shared" si="22"/>
        <v/>
      </c>
      <c r="R45" s="19" t="str">
        <f t="shared" si="22"/>
        <v/>
      </c>
      <c r="S45" s="19" t="str">
        <f t="shared" si="22"/>
        <v/>
      </c>
      <c r="T45" s="19" t="str">
        <f t="shared" si="22"/>
        <v/>
      </c>
      <c r="U45" s="19" t="str">
        <f t="shared" si="22"/>
        <v/>
      </c>
      <c r="V45" s="19" t="str">
        <f t="shared" si="22"/>
        <v/>
      </c>
      <c r="W45" s="19" t="str">
        <f t="shared" si="22"/>
        <v/>
      </c>
      <c r="X45" s="19" t="str">
        <f t="shared" si="22"/>
        <v/>
      </c>
      <c r="Y45" s="19" t="str">
        <f t="shared" si="22"/>
        <v/>
      </c>
      <c r="Z45" s="19" t="str">
        <f t="shared" si="23"/>
        <v/>
      </c>
      <c r="AA45" s="19" t="str">
        <f t="shared" si="23"/>
        <v/>
      </c>
      <c r="AB45" s="19" t="str">
        <f t="shared" si="23"/>
        <v/>
      </c>
      <c r="AC45" s="19" t="str">
        <f t="shared" si="23"/>
        <v/>
      </c>
      <c r="AD45" s="19" t="str">
        <f t="shared" si="23"/>
        <v/>
      </c>
      <c r="AE45" s="19" t="str">
        <f t="shared" si="23"/>
        <v/>
      </c>
      <c r="AF45" s="19" t="str">
        <f t="shared" si="23"/>
        <v/>
      </c>
      <c r="AG45" s="19" t="str">
        <f t="shared" si="23"/>
        <v/>
      </c>
      <c r="AH45" s="19" t="str">
        <f t="shared" si="23"/>
        <v/>
      </c>
      <c r="AI45" s="19" t="str">
        <f t="shared" si="23"/>
        <v/>
      </c>
      <c r="AJ45" s="19" t="str">
        <f t="shared" si="24"/>
        <v/>
      </c>
      <c r="AK45" s="19" t="str">
        <f t="shared" si="24"/>
        <v/>
      </c>
      <c r="AL45" s="19" t="str">
        <f t="shared" si="24"/>
        <v/>
      </c>
      <c r="AM45" s="19" t="str">
        <f t="shared" si="24"/>
        <v/>
      </c>
      <c r="AN45" s="19" t="str">
        <f t="shared" si="24"/>
        <v/>
      </c>
      <c r="AO45" s="19" t="str">
        <f t="shared" si="24"/>
        <v/>
      </c>
      <c r="AP45" s="19" t="str">
        <f t="shared" si="24"/>
        <v/>
      </c>
      <c r="AQ45" s="19" t="str">
        <f t="shared" si="24"/>
        <v/>
      </c>
      <c r="AR45" s="19" t="str">
        <f t="shared" si="24"/>
        <v/>
      </c>
      <c r="AS45" s="19" t="str">
        <f t="shared" si="24"/>
        <v/>
      </c>
      <c r="AT45" s="19" t="str">
        <f t="shared" si="24"/>
        <v/>
      </c>
      <c r="AU45" s="19" t="str">
        <f t="shared" si="24"/>
        <v/>
      </c>
      <c r="AW45">
        <v>1</v>
      </c>
      <c r="AX45">
        <f ca="1">IF(AND(J45&lt;=Hoy!$C$4,K45&gt;=Hoy!$C$4),1,0)</f>
        <v>0</v>
      </c>
      <c r="AY45" t="str">
        <f ca="1">IF(AX45=1,SUM($AX$6:AX45),"")</f>
        <v/>
      </c>
      <c r="AZ45">
        <f t="shared" ca="1" si="25"/>
        <v>0</v>
      </c>
      <c r="BA45" t="str">
        <f ca="1">IF(AZ45=1,SUM($AZ$6:AZ45),"")</f>
        <v/>
      </c>
    </row>
    <row r="46" spans="1:53" ht="30" customHeight="1" outlineLevel="1" x14ac:dyDescent="0.3">
      <c r="A46" s="13" t="s">
        <v>196</v>
      </c>
      <c r="B46" s="14" t="s">
        <v>179</v>
      </c>
      <c r="C46" s="15" t="s">
        <v>197</v>
      </c>
      <c r="D46" s="13" t="s">
        <v>35</v>
      </c>
      <c r="E46" s="15" t="s">
        <v>198</v>
      </c>
      <c r="F46" s="14" t="s">
        <v>87</v>
      </c>
      <c r="G46" s="15" t="s">
        <v>50</v>
      </c>
      <c r="H46" s="15" t="s">
        <v>199</v>
      </c>
      <c r="I46" s="13" t="s">
        <v>40</v>
      </c>
      <c r="J46" s="16">
        <v>46332</v>
      </c>
      <c r="K46" s="16">
        <v>46332</v>
      </c>
      <c r="L46" s="13">
        <f t="shared" si="21"/>
        <v>1</v>
      </c>
      <c r="M46" s="17" t="s">
        <v>41</v>
      </c>
      <c r="N46" s="13" t="str">
        <f ca="1">IF(M46="Finalizado","",IF(K46&lt;Hoy!$C$4,"Vencida",IF(AND(J46&lt;=Hoy!$C$4,M46="No iniciado"),"Sin iniciar","")))</f>
        <v/>
      </c>
      <c r="O46" s="18"/>
      <c r="P46" s="19" t="str">
        <f t="shared" si="22"/>
        <v/>
      </c>
      <c r="Q46" s="19" t="str">
        <f t="shared" si="22"/>
        <v/>
      </c>
      <c r="R46" s="19" t="str">
        <f t="shared" si="22"/>
        <v/>
      </c>
      <c r="S46" s="19" t="str">
        <f t="shared" si="22"/>
        <v/>
      </c>
      <c r="T46" s="19" t="str">
        <f t="shared" si="22"/>
        <v/>
      </c>
      <c r="U46" s="19" t="str">
        <f t="shared" si="22"/>
        <v/>
      </c>
      <c r="V46" s="19" t="str">
        <f t="shared" si="22"/>
        <v/>
      </c>
      <c r="W46" s="19" t="str">
        <f t="shared" si="22"/>
        <v/>
      </c>
      <c r="X46" s="19" t="str">
        <f t="shared" si="22"/>
        <v/>
      </c>
      <c r="Y46" s="19" t="str">
        <f t="shared" si="22"/>
        <v/>
      </c>
      <c r="Z46" s="19" t="str">
        <f t="shared" si="23"/>
        <v/>
      </c>
      <c r="AA46" s="19" t="str">
        <f t="shared" si="23"/>
        <v/>
      </c>
      <c r="AB46" s="19" t="str">
        <f t="shared" si="23"/>
        <v/>
      </c>
      <c r="AC46" s="19" t="str">
        <f t="shared" si="23"/>
        <v/>
      </c>
      <c r="AD46" s="19" t="str">
        <f t="shared" si="23"/>
        <v/>
      </c>
      <c r="AE46" s="19" t="str">
        <f t="shared" si="23"/>
        <v/>
      </c>
      <c r="AF46" s="19" t="str">
        <f t="shared" si="23"/>
        <v/>
      </c>
      <c r="AG46" s="19" t="str">
        <f t="shared" si="23"/>
        <v/>
      </c>
      <c r="AH46" s="19" t="str">
        <f t="shared" si="23"/>
        <v/>
      </c>
      <c r="AI46" s="19" t="str">
        <f t="shared" si="23"/>
        <v/>
      </c>
      <c r="AJ46" s="19" t="str">
        <f t="shared" si="24"/>
        <v/>
      </c>
      <c r="AK46" s="19" t="str">
        <f t="shared" si="24"/>
        <v/>
      </c>
      <c r="AL46" s="19" t="str">
        <f t="shared" si="24"/>
        <v/>
      </c>
      <c r="AM46" s="19" t="str">
        <f t="shared" si="24"/>
        <v/>
      </c>
      <c r="AN46" s="19" t="str">
        <f t="shared" si="24"/>
        <v/>
      </c>
      <c r="AO46" s="19" t="str">
        <f t="shared" si="24"/>
        <v/>
      </c>
      <c r="AP46" s="19" t="str">
        <f t="shared" si="24"/>
        <v/>
      </c>
      <c r="AQ46" s="19" t="str">
        <f t="shared" si="24"/>
        <v/>
      </c>
      <c r="AR46" s="19" t="str">
        <f t="shared" si="24"/>
        <v/>
      </c>
      <c r="AS46" s="19" t="str">
        <f t="shared" si="24"/>
        <v/>
      </c>
      <c r="AT46" s="19" t="str">
        <f t="shared" si="24"/>
        <v/>
      </c>
      <c r="AU46" s="19" t="str">
        <f t="shared" si="24"/>
        <v/>
      </c>
      <c r="AW46">
        <v>1</v>
      </c>
      <c r="AX46">
        <f ca="1">IF(AND(J46&lt;=Hoy!$C$4,K46&gt;=Hoy!$C$4),1,0)</f>
        <v>0</v>
      </c>
      <c r="AY46" t="str">
        <f ca="1">IF(AX46=1,SUM($AX$6:AX46),"")</f>
        <v/>
      </c>
      <c r="AZ46">
        <f t="shared" ca="1" si="25"/>
        <v>0</v>
      </c>
      <c r="BA46" t="str">
        <f ca="1">IF(AZ46=1,SUM($AZ$6:AZ46),"")</f>
        <v/>
      </c>
    </row>
    <row r="47" spans="1:53" ht="30" customHeight="1" outlineLevel="1" x14ac:dyDescent="0.3">
      <c r="A47" s="13" t="s">
        <v>200</v>
      </c>
      <c r="B47" s="14" t="s">
        <v>179</v>
      </c>
      <c r="C47" s="20" t="s">
        <v>201</v>
      </c>
      <c r="D47" s="13" t="s">
        <v>78</v>
      </c>
      <c r="E47" s="15" t="s">
        <v>202</v>
      </c>
      <c r="F47" s="14" t="s">
        <v>87</v>
      </c>
      <c r="G47" s="15" t="s">
        <v>50</v>
      </c>
      <c r="H47" s="15" t="s">
        <v>203</v>
      </c>
      <c r="I47" s="13" t="s">
        <v>40</v>
      </c>
      <c r="J47" s="16">
        <v>46332</v>
      </c>
      <c r="K47" s="16">
        <v>46332</v>
      </c>
      <c r="L47" s="13">
        <f t="shared" si="21"/>
        <v>1</v>
      </c>
      <c r="M47" s="17" t="s">
        <v>41</v>
      </c>
      <c r="N47" s="13" t="str">
        <f ca="1">IF(M47="Finalizado","",IF(K47&lt;Hoy!$C$4,"Vencida",IF(AND(J47&lt;=Hoy!$C$4,M47="No iniciado"),"Sin iniciar","")))</f>
        <v/>
      </c>
      <c r="O47" s="18"/>
      <c r="P47" s="19" t="str">
        <f t="shared" si="22"/>
        <v/>
      </c>
      <c r="Q47" s="19" t="str">
        <f t="shared" si="22"/>
        <v/>
      </c>
      <c r="R47" s="19" t="str">
        <f t="shared" si="22"/>
        <v/>
      </c>
      <c r="S47" s="19" t="str">
        <f t="shared" si="22"/>
        <v/>
      </c>
      <c r="T47" s="19" t="str">
        <f t="shared" si="22"/>
        <v/>
      </c>
      <c r="U47" s="19" t="str">
        <f t="shared" si="22"/>
        <v/>
      </c>
      <c r="V47" s="19" t="str">
        <f t="shared" si="22"/>
        <v/>
      </c>
      <c r="W47" s="19" t="str">
        <f t="shared" si="22"/>
        <v/>
      </c>
      <c r="X47" s="19" t="str">
        <f t="shared" si="22"/>
        <v/>
      </c>
      <c r="Y47" s="19" t="str">
        <f t="shared" si="22"/>
        <v/>
      </c>
      <c r="Z47" s="19" t="str">
        <f t="shared" si="23"/>
        <v/>
      </c>
      <c r="AA47" s="19" t="str">
        <f t="shared" si="23"/>
        <v/>
      </c>
      <c r="AB47" s="19" t="str">
        <f t="shared" si="23"/>
        <v/>
      </c>
      <c r="AC47" s="19" t="str">
        <f t="shared" si="23"/>
        <v/>
      </c>
      <c r="AD47" s="19" t="str">
        <f t="shared" si="23"/>
        <v/>
      </c>
      <c r="AE47" s="19" t="str">
        <f t="shared" si="23"/>
        <v/>
      </c>
      <c r="AF47" s="19" t="str">
        <f t="shared" si="23"/>
        <v/>
      </c>
      <c r="AG47" s="19" t="str">
        <f t="shared" si="23"/>
        <v>◆</v>
      </c>
      <c r="AH47" s="19" t="str">
        <f t="shared" si="23"/>
        <v/>
      </c>
      <c r="AI47" s="19" t="str">
        <f t="shared" si="23"/>
        <v/>
      </c>
      <c r="AJ47" s="19" t="str">
        <f t="shared" si="24"/>
        <v/>
      </c>
      <c r="AK47" s="19" t="str">
        <f t="shared" si="24"/>
        <v/>
      </c>
      <c r="AL47" s="19" t="str">
        <f t="shared" si="24"/>
        <v/>
      </c>
      <c r="AM47" s="19" t="str">
        <f t="shared" si="24"/>
        <v/>
      </c>
      <c r="AN47" s="19" t="str">
        <f t="shared" si="24"/>
        <v/>
      </c>
      <c r="AO47" s="19" t="str">
        <f t="shared" si="24"/>
        <v/>
      </c>
      <c r="AP47" s="19" t="str">
        <f t="shared" si="24"/>
        <v/>
      </c>
      <c r="AQ47" s="19" t="str">
        <f t="shared" si="24"/>
        <v/>
      </c>
      <c r="AR47" s="19" t="str">
        <f t="shared" si="24"/>
        <v/>
      </c>
      <c r="AS47" s="19" t="str">
        <f t="shared" si="24"/>
        <v/>
      </c>
      <c r="AT47" s="19" t="str">
        <f t="shared" si="24"/>
        <v/>
      </c>
      <c r="AU47" s="19" t="str">
        <f t="shared" si="24"/>
        <v/>
      </c>
      <c r="AW47">
        <v>1</v>
      </c>
      <c r="AX47">
        <f ca="1">IF(AND(J47&lt;=Hoy!$C$4,K47&gt;=Hoy!$C$4),1,0)</f>
        <v>0</v>
      </c>
      <c r="AY47" t="str">
        <f ca="1">IF(AX47=1,SUM($AX$6:AX47),"")</f>
        <v/>
      </c>
      <c r="AZ47">
        <f t="shared" ca="1" si="25"/>
        <v>0</v>
      </c>
      <c r="BA47" t="str">
        <f ca="1">IF(AZ47=1,SUM($AZ$6:AZ47),"")</f>
        <v/>
      </c>
    </row>
    <row r="48" spans="1:53" ht="18" customHeight="1" x14ac:dyDescent="0.3">
      <c r="A48" s="9" t="s">
        <v>204</v>
      </c>
      <c r="B48" s="10" t="s">
        <v>205</v>
      </c>
      <c r="C48" s="10" t="s">
        <v>206</v>
      </c>
      <c r="D48" s="9" t="s">
        <v>11</v>
      </c>
      <c r="E48" s="10"/>
      <c r="F48" s="9"/>
      <c r="G48" s="10"/>
      <c r="H48" s="10"/>
      <c r="I48" s="9"/>
      <c r="J48" s="11">
        <f>MIN(J49:J52)</f>
        <v>46333</v>
      </c>
      <c r="K48" s="11">
        <f>MAX(K49:K52)</f>
        <v>46335</v>
      </c>
      <c r="L48" s="9">
        <f t="shared" si="21"/>
        <v>3</v>
      </c>
      <c r="M48" s="9" t="str">
        <f ca="1">IF(COUNTIF(M49:M52,"Finalizado")=ROWS(M49:M52),"Finalizado",IF(OR(COUNTIF(M49:M52,"Demorado")&gt;0,COUNTIF(N49:N52,"Vencida")&gt;0),"Demorado",IF(COUNTIF(M49:M52,"En curso")+COUNTIF(M49:M52,"Finalizado")&gt;0,"En curso","No iniciado")))</f>
        <v>No iniciado</v>
      </c>
      <c r="N48" s="9" t="str">
        <f ca="1">IF(COUNTIF(N49:N52,"Vencida")&gt;0,COUNTIF(N49:N52,"Vencida")&amp;" vencida(s)","")</f>
        <v/>
      </c>
      <c r="O48" s="10" t="str">
        <f>COUNTIF(M49:M52,"Finalizado")&amp;" de "&amp;ROWS(M49:M52)&amp;" finalizadas"</f>
        <v>0 de 4 finalizadas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W48">
        <v>0</v>
      </c>
    </row>
    <row r="49" spans="1:53" ht="30" customHeight="1" outlineLevel="1" x14ac:dyDescent="0.3">
      <c r="A49" s="13" t="s">
        <v>207</v>
      </c>
      <c r="B49" s="14" t="s">
        <v>205</v>
      </c>
      <c r="C49" s="15" t="s">
        <v>208</v>
      </c>
      <c r="D49" s="13" t="s">
        <v>35</v>
      </c>
      <c r="E49" s="15" t="s">
        <v>209</v>
      </c>
      <c r="F49" s="14" t="s">
        <v>64</v>
      </c>
      <c r="G49" s="15" t="s">
        <v>38</v>
      </c>
      <c r="H49" s="15" t="s">
        <v>210</v>
      </c>
      <c r="I49" s="13" t="s">
        <v>40</v>
      </c>
      <c r="J49" s="16">
        <v>46333</v>
      </c>
      <c r="K49" s="16">
        <v>46333</v>
      </c>
      <c r="L49" s="13">
        <f t="shared" si="21"/>
        <v>1</v>
      </c>
      <c r="M49" s="17" t="s">
        <v>41</v>
      </c>
      <c r="N49" s="13" t="str">
        <f ca="1">IF(M49="Finalizado","",IF(K49&lt;Hoy!$C$4,"Vencida",IF(AND(J49&lt;=Hoy!$C$4,M49="No iniciado"),"Sin iniciar","")))</f>
        <v/>
      </c>
      <c r="O49" s="18"/>
      <c r="P49" s="19" t="str">
        <f t="shared" ref="P49:Y52" si="26">IF(AND($D49="Hito",P$5=$J49),"◆","")</f>
        <v/>
      </c>
      <c r="Q49" s="19" t="str">
        <f t="shared" si="26"/>
        <v/>
      </c>
      <c r="R49" s="19" t="str">
        <f t="shared" si="26"/>
        <v/>
      </c>
      <c r="S49" s="19" t="str">
        <f t="shared" si="26"/>
        <v/>
      </c>
      <c r="T49" s="19" t="str">
        <f t="shared" si="26"/>
        <v/>
      </c>
      <c r="U49" s="19" t="str">
        <f t="shared" si="26"/>
        <v/>
      </c>
      <c r="V49" s="19" t="str">
        <f t="shared" si="26"/>
        <v/>
      </c>
      <c r="W49" s="19" t="str">
        <f t="shared" si="26"/>
        <v/>
      </c>
      <c r="X49" s="19" t="str">
        <f t="shared" si="26"/>
        <v/>
      </c>
      <c r="Y49" s="19" t="str">
        <f t="shared" si="26"/>
        <v/>
      </c>
      <c r="Z49" s="19" t="str">
        <f t="shared" ref="Z49:AI52" si="27">IF(AND($D49="Hito",Z$5=$J49),"◆","")</f>
        <v/>
      </c>
      <c r="AA49" s="19" t="str">
        <f t="shared" si="27"/>
        <v/>
      </c>
      <c r="AB49" s="19" t="str">
        <f t="shared" si="27"/>
        <v/>
      </c>
      <c r="AC49" s="19" t="str">
        <f t="shared" si="27"/>
        <v/>
      </c>
      <c r="AD49" s="19" t="str">
        <f t="shared" si="27"/>
        <v/>
      </c>
      <c r="AE49" s="19" t="str">
        <f t="shared" si="27"/>
        <v/>
      </c>
      <c r="AF49" s="19" t="str">
        <f t="shared" si="27"/>
        <v/>
      </c>
      <c r="AG49" s="19" t="str">
        <f t="shared" si="27"/>
        <v/>
      </c>
      <c r="AH49" s="19" t="str">
        <f t="shared" si="27"/>
        <v/>
      </c>
      <c r="AI49" s="19" t="str">
        <f t="shared" si="27"/>
        <v/>
      </c>
      <c r="AJ49" s="19" t="str">
        <f t="shared" ref="AJ49:AU52" si="28">IF(AND($D49="Hito",AJ$5=$J49),"◆","")</f>
        <v/>
      </c>
      <c r="AK49" s="19" t="str">
        <f t="shared" si="28"/>
        <v/>
      </c>
      <c r="AL49" s="19" t="str">
        <f t="shared" si="28"/>
        <v/>
      </c>
      <c r="AM49" s="19" t="str">
        <f t="shared" si="28"/>
        <v/>
      </c>
      <c r="AN49" s="19" t="str">
        <f t="shared" si="28"/>
        <v/>
      </c>
      <c r="AO49" s="19" t="str">
        <f t="shared" si="28"/>
        <v/>
      </c>
      <c r="AP49" s="19" t="str">
        <f t="shared" si="28"/>
        <v/>
      </c>
      <c r="AQ49" s="19" t="str">
        <f t="shared" si="28"/>
        <v/>
      </c>
      <c r="AR49" s="19" t="str">
        <f t="shared" si="28"/>
        <v/>
      </c>
      <c r="AS49" s="19" t="str">
        <f t="shared" si="28"/>
        <v/>
      </c>
      <c r="AT49" s="19" t="str">
        <f t="shared" si="28"/>
        <v/>
      </c>
      <c r="AU49" s="19" t="str">
        <f t="shared" si="28"/>
        <v/>
      </c>
      <c r="AW49">
        <v>1</v>
      </c>
      <c r="AX49">
        <f ca="1">IF(AND(J49&lt;=Hoy!$C$4,K49&gt;=Hoy!$C$4),1,0)</f>
        <v>0</v>
      </c>
      <c r="AY49" t="str">
        <f ca="1">IF(AX49=1,SUM($AX$6:AX49),"")</f>
        <v/>
      </c>
      <c r="AZ49">
        <f ca="1">IF(N49="Vencida",1,0)</f>
        <v>0</v>
      </c>
      <c r="BA49" t="str">
        <f ca="1">IF(AZ49=1,SUM($AZ$6:AZ49),"")</f>
        <v/>
      </c>
    </row>
    <row r="50" spans="1:53" ht="30" customHeight="1" outlineLevel="1" x14ac:dyDescent="0.3">
      <c r="A50" s="13" t="s">
        <v>211</v>
      </c>
      <c r="B50" s="14" t="s">
        <v>205</v>
      </c>
      <c r="C50" s="20" t="s">
        <v>212</v>
      </c>
      <c r="D50" s="13" t="s">
        <v>78</v>
      </c>
      <c r="E50" s="15" t="s">
        <v>213</v>
      </c>
      <c r="F50" s="14" t="s">
        <v>37</v>
      </c>
      <c r="G50" s="15" t="s">
        <v>214</v>
      </c>
      <c r="H50" s="15" t="s">
        <v>215</v>
      </c>
      <c r="I50" s="13" t="s">
        <v>40</v>
      </c>
      <c r="J50" s="16">
        <v>46333</v>
      </c>
      <c r="K50" s="16">
        <v>46333</v>
      </c>
      <c r="L50" s="13">
        <f t="shared" si="21"/>
        <v>1</v>
      </c>
      <c r="M50" s="17" t="s">
        <v>41</v>
      </c>
      <c r="N50" s="13" t="str">
        <f ca="1">IF(M50="Finalizado","",IF(K50&lt;Hoy!$C$4,"Vencida",IF(AND(J50&lt;=Hoy!$C$4,M50="No iniciado"),"Sin iniciar","")))</f>
        <v/>
      </c>
      <c r="O50" s="18"/>
      <c r="P50" s="19" t="str">
        <f t="shared" si="26"/>
        <v/>
      </c>
      <c r="Q50" s="19" t="str">
        <f t="shared" si="26"/>
        <v/>
      </c>
      <c r="R50" s="19" t="str">
        <f t="shared" si="26"/>
        <v/>
      </c>
      <c r="S50" s="19" t="str">
        <f t="shared" si="26"/>
        <v/>
      </c>
      <c r="T50" s="19" t="str">
        <f t="shared" si="26"/>
        <v/>
      </c>
      <c r="U50" s="19" t="str">
        <f t="shared" si="26"/>
        <v/>
      </c>
      <c r="V50" s="19" t="str">
        <f t="shared" si="26"/>
        <v/>
      </c>
      <c r="W50" s="19" t="str">
        <f t="shared" si="26"/>
        <v/>
      </c>
      <c r="X50" s="19" t="str">
        <f t="shared" si="26"/>
        <v/>
      </c>
      <c r="Y50" s="19" t="str">
        <f t="shared" si="26"/>
        <v/>
      </c>
      <c r="Z50" s="19" t="str">
        <f t="shared" si="27"/>
        <v/>
      </c>
      <c r="AA50" s="19" t="str">
        <f t="shared" si="27"/>
        <v/>
      </c>
      <c r="AB50" s="19" t="str">
        <f t="shared" si="27"/>
        <v/>
      </c>
      <c r="AC50" s="19" t="str">
        <f t="shared" si="27"/>
        <v/>
      </c>
      <c r="AD50" s="19" t="str">
        <f t="shared" si="27"/>
        <v/>
      </c>
      <c r="AE50" s="19" t="str">
        <f t="shared" si="27"/>
        <v/>
      </c>
      <c r="AF50" s="19" t="str">
        <f t="shared" si="27"/>
        <v/>
      </c>
      <c r="AG50" s="19" t="str">
        <f t="shared" si="27"/>
        <v/>
      </c>
      <c r="AH50" s="19" t="str">
        <f t="shared" si="27"/>
        <v>◆</v>
      </c>
      <c r="AI50" s="19" t="str">
        <f t="shared" si="27"/>
        <v/>
      </c>
      <c r="AJ50" s="19" t="str">
        <f t="shared" si="28"/>
        <v/>
      </c>
      <c r="AK50" s="19" t="str">
        <f t="shared" si="28"/>
        <v/>
      </c>
      <c r="AL50" s="19" t="str">
        <f t="shared" si="28"/>
        <v/>
      </c>
      <c r="AM50" s="19" t="str">
        <f t="shared" si="28"/>
        <v/>
      </c>
      <c r="AN50" s="19" t="str">
        <f t="shared" si="28"/>
        <v/>
      </c>
      <c r="AO50" s="19" t="str">
        <f t="shared" si="28"/>
        <v/>
      </c>
      <c r="AP50" s="19" t="str">
        <f t="shared" si="28"/>
        <v/>
      </c>
      <c r="AQ50" s="19" t="str">
        <f t="shared" si="28"/>
        <v/>
      </c>
      <c r="AR50" s="19" t="str">
        <f t="shared" si="28"/>
        <v/>
      </c>
      <c r="AS50" s="19" t="str">
        <f t="shared" si="28"/>
        <v/>
      </c>
      <c r="AT50" s="19" t="str">
        <f t="shared" si="28"/>
        <v/>
      </c>
      <c r="AU50" s="19" t="str">
        <f t="shared" si="28"/>
        <v/>
      </c>
      <c r="AW50">
        <v>1</v>
      </c>
      <c r="AX50">
        <f ca="1">IF(AND(J50&lt;=Hoy!$C$4,K50&gt;=Hoy!$C$4),1,0)</f>
        <v>0</v>
      </c>
      <c r="AY50" t="str">
        <f ca="1">IF(AX50=1,SUM($AX$6:AX50),"")</f>
        <v/>
      </c>
      <c r="AZ50">
        <f ca="1">IF(N50="Vencida",1,0)</f>
        <v>0</v>
      </c>
      <c r="BA50" t="str">
        <f ca="1">IF(AZ50=1,SUM($AZ$6:AZ50),"")</f>
        <v/>
      </c>
    </row>
    <row r="51" spans="1:53" ht="30" customHeight="1" outlineLevel="1" x14ac:dyDescent="0.3">
      <c r="A51" s="13" t="s">
        <v>216</v>
      </c>
      <c r="B51" s="14" t="s">
        <v>205</v>
      </c>
      <c r="C51" s="20" t="s">
        <v>217</v>
      </c>
      <c r="D51" s="13" t="s">
        <v>78</v>
      </c>
      <c r="E51" s="15" t="s">
        <v>218</v>
      </c>
      <c r="F51" s="14" t="s">
        <v>37</v>
      </c>
      <c r="G51" s="15" t="s">
        <v>38</v>
      </c>
      <c r="H51" s="15" t="s">
        <v>219</v>
      </c>
      <c r="I51" s="13" t="s">
        <v>40</v>
      </c>
      <c r="J51" s="16">
        <v>46335</v>
      </c>
      <c r="K51" s="16">
        <v>46335</v>
      </c>
      <c r="L51" s="13">
        <f t="shared" si="21"/>
        <v>1</v>
      </c>
      <c r="M51" s="17" t="s">
        <v>41</v>
      </c>
      <c r="N51" s="13" t="str">
        <f ca="1">IF(M51="Finalizado","",IF(K51&lt;Hoy!$C$4,"Vencida",IF(AND(J51&lt;=Hoy!$C$4,M51="No iniciado"),"Sin iniciar","")))</f>
        <v/>
      </c>
      <c r="O51" s="18"/>
      <c r="P51" s="19" t="str">
        <f t="shared" si="26"/>
        <v/>
      </c>
      <c r="Q51" s="19" t="str">
        <f t="shared" si="26"/>
        <v/>
      </c>
      <c r="R51" s="19" t="str">
        <f t="shared" si="26"/>
        <v/>
      </c>
      <c r="S51" s="19" t="str">
        <f t="shared" si="26"/>
        <v/>
      </c>
      <c r="T51" s="19" t="str">
        <f t="shared" si="26"/>
        <v/>
      </c>
      <c r="U51" s="19" t="str">
        <f t="shared" si="26"/>
        <v/>
      </c>
      <c r="V51" s="19" t="str">
        <f t="shared" si="26"/>
        <v/>
      </c>
      <c r="W51" s="19" t="str">
        <f t="shared" si="26"/>
        <v/>
      </c>
      <c r="X51" s="19" t="str">
        <f t="shared" si="26"/>
        <v/>
      </c>
      <c r="Y51" s="19" t="str">
        <f t="shared" si="26"/>
        <v/>
      </c>
      <c r="Z51" s="19" t="str">
        <f t="shared" si="27"/>
        <v/>
      </c>
      <c r="AA51" s="19" t="str">
        <f t="shared" si="27"/>
        <v/>
      </c>
      <c r="AB51" s="19" t="str">
        <f t="shared" si="27"/>
        <v/>
      </c>
      <c r="AC51" s="19" t="str">
        <f t="shared" si="27"/>
        <v/>
      </c>
      <c r="AD51" s="19" t="str">
        <f t="shared" si="27"/>
        <v/>
      </c>
      <c r="AE51" s="19" t="str">
        <f t="shared" si="27"/>
        <v/>
      </c>
      <c r="AF51" s="19" t="str">
        <f t="shared" si="27"/>
        <v/>
      </c>
      <c r="AG51" s="19" t="str">
        <f t="shared" si="27"/>
        <v/>
      </c>
      <c r="AH51" s="19" t="str">
        <f t="shared" si="27"/>
        <v/>
      </c>
      <c r="AI51" s="19" t="str">
        <f t="shared" si="27"/>
        <v/>
      </c>
      <c r="AJ51" s="19" t="str">
        <f t="shared" si="28"/>
        <v>◆</v>
      </c>
      <c r="AK51" s="19" t="str">
        <f t="shared" si="28"/>
        <v/>
      </c>
      <c r="AL51" s="19" t="str">
        <f t="shared" si="28"/>
        <v/>
      </c>
      <c r="AM51" s="19" t="str">
        <f t="shared" si="28"/>
        <v/>
      </c>
      <c r="AN51" s="19" t="str">
        <f t="shared" si="28"/>
        <v/>
      </c>
      <c r="AO51" s="19" t="str">
        <f t="shared" si="28"/>
        <v/>
      </c>
      <c r="AP51" s="19" t="str">
        <f t="shared" si="28"/>
        <v/>
      </c>
      <c r="AQ51" s="19" t="str">
        <f t="shared" si="28"/>
        <v/>
      </c>
      <c r="AR51" s="19" t="str">
        <f t="shared" si="28"/>
        <v/>
      </c>
      <c r="AS51" s="19" t="str">
        <f t="shared" si="28"/>
        <v/>
      </c>
      <c r="AT51" s="19" t="str">
        <f t="shared" si="28"/>
        <v/>
      </c>
      <c r="AU51" s="19" t="str">
        <f t="shared" si="28"/>
        <v/>
      </c>
      <c r="AW51">
        <v>1</v>
      </c>
      <c r="AX51">
        <f ca="1">IF(AND(J51&lt;=Hoy!$C$4,K51&gt;=Hoy!$C$4),1,0)</f>
        <v>0</v>
      </c>
      <c r="AY51" t="str">
        <f ca="1">IF(AX51=1,SUM($AX$6:AX51),"")</f>
        <v/>
      </c>
      <c r="AZ51">
        <f ca="1">IF(N51="Vencida",1,0)</f>
        <v>0</v>
      </c>
      <c r="BA51" t="str">
        <f ca="1">IF(AZ51=1,SUM($AZ$6:AZ51),"")</f>
        <v/>
      </c>
    </row>
    <row r="52" spans="1:53" ht="30" customHeight="1" outlineLevel="1" x14ac:dyDescent="0.3">
      <c r="A52" s="13" t="s">
        <v>220</v>
      </c>
      <c r="B52" s="14" t="s">
        <v>205</v>
      </c>
      <c r="C52" s="20" t="s">
        <v>221</v>
      </c>
      <c r="D52" s="13" t="s">
        <v>78</v>
      </c>
      <c r="E52" s="15" t="s">
        <v>222</v>
      </c>
      <c r="F52" s="14" t="s">
        <v>72</v>
      </c>
      <c r="G52" s="15" t="s">
        <v>138</v>
      </c>
      <c r="H52" s="15" t="s">
        <v>139</v>
      </c>
      <c r="I52" s="13" t="s">
        <v>40</v>
      </c>
      <c r="J52" s="16">
        <v>46335</v>
      </c>
      <c r="K52" s="16">
        <v>46335</v>
      </c>
      <c r="L52" s="13">
        <f t="shared" si="21"/>
        <v>1</v>
      </c>
      <c r="M52" s="17" t="s">
        <v>41</v>
      </c>
      <c r="N52" s="13" t="str">
        <f ca="1">IF(M52="Finalizado","",IF(K52&lt;Hoy!$C$4,"Vencida",IF(AND(J52&lt;=Hoy!$C$4,M52="No iniciado"),"Sin iniciar","")))</f>
        <v/>
      </c>
      <c r="O52" s="18"/>
      <c r="P52" s="19" t="str">
        <f t="shared" si="26"/>
        <v/>
      </c>
      <c r="Q52" s="19" t="str">
        <f t="shared" si="26"/>
        <v/>
      </c>
      <c r="R52" s="19" t="str">
        <f t="shared" si="26"/>
        <v/>
      </c>
      <c r="S52" s="19" t="str">
        <f t="shared" si="26"/>
        <v/>
      </c>
      <c r="T52" s="19" t="str">
        <f t="shared" si="26"/>
        <v/>
      </c>
      <c r="U52" s="19" t="str">
        <f t="shared" si="26"/>
        <v/>
      </c>
      <c r="V52" s="19" t="str">
        <f t="shared" si="26"/>
        <v/>
      </c>
      <c r="W52" s="19" t="str">
        <f t="shared" si="26"/>
        <v/>
      </c>
      <c r="X52" s="19" t="str">
        <f t="shared" si="26"/>
        <v/>
      </c>
      <c r="Y52" s="19" t="str">
        <f t="shared" si="26"/>
        <v/>
      </c>
      <c r="Z52" s="19" t="str">
        <f t="shared" si="27"/>
        <v/>
      </c>
      <c r="AA52" s="19" t="str">
        <f t="shared" si="27"/>
        <v/>
      </c>
      <c r="AB52" s="19" t="str">
        <f t="shared" si="27"/>
        <v/>
      </c>
      <c r="AC52" s="19" t="str">
        <f t="shared" si="27"/>
        <v/>
      </c>
      <c r="AD52" s="19" t="str">
        <f t="shared" si="27"/>
        <v/>
      </c>
      <c r="AE52" s="19" t="str">
        <f t="shared" si="27"/>
        <v/>
      </c>
      <c r="AF52" s="19" t="str">
        <f t="shared" si="27"/>
        <v/>
      </c>
      <c r="AG52" s="19" t="str">
        <f t="shared" si="27"/>
        <v/>
      </c>
      <c r="AH52" s="19" t="str">
        <f t="shared" si="27"/>
        <v/>
      </c>
      <c r="AI52" s="19" t="str">
        <f t="shared" si="27"/>
        <v/>
      </c>
      <c r="AJ52" s="19" t="str">
        <f t="shared" si="28"/>
        <v>◆</v>
      </c>
      <c r="AK52" s="19" t="str">
        <f t="shared" si="28"/>
        <v/>
      </c>
      <c r="AL52" s="19" t="str">
        <f t="shared" si="28"/>
        <v/>
      </c>
      <c r="AM52" s="19" t="str">
        <f t="shared" si="28"/>
        <v/>
      </c>
      <c r="AN52" s="19" t="str">
        <f t="shared" si="28"/>
        <v/>
      </c>
      <c r="AO52" s="19" t="str">
        <f t="shared" si="28"/>
        <v/>
      </c>
      <c r="AP52" s="19" t="str">
        <f t="shared" si="28"/>
        <v/>
      </c>
      <c r="AQ52" s="19" t="str">
        <f t="shared" si="28"/>
        <v/>
      </c>
      <c r="AR52" s="19" t="str">
        <f t="shared" si="28"/>
        <v/>
      </c>
      <c r="AS52" s="19" t="str">
        <f t="shared" si="28"/>
        <v/>
      </c>
      <c r="AT52" s="19" t="str">
        <f t="shared" si="28"/>
        <v/>
      </c>
      <c r="AU52" s="19" t="str">
        <f t="shared" si="28"/>
        <v/>
      </c>
      <c r="AW52">
        <v>1</v>
      </c>
      <c r="AX52">
        <f ca="1">IF(AND(J52&lt;=Hoy!$C$4,K52&gt;=Hoy!$C$4),1,0)</f>
        <v>0</v>
      </c>
      <c r="AY52" t="str">
        <f ca="1">IF(AX52=1,SUM($AX$6:AX52),"")</f>
        <v/>
      </c>
      <c r="AZ52">
        <f ca="1">IF(N52="Vencida",1,0)</f>
        <v>0</v>
      </c>
      <c r="BA52" t="str">
        <f ca="1">IF(AZ52=1,SUM($AZ$6:AZ52),"")</f>
        <v/>
      </c>
    </row>
    <row r="53" spans="1:53" ht="18" customHeight="1" x14ac:dyDescent="0.3">
      <c r="A53" s="9" t="s">
        <v>223</v>
      </c>
      <c r="B53" s="10" t="s">
        <v>224</v>
      </c>
      <c r="C53" s="10" t="s">
        <v>225</v>
      </c>
      <c r="D53" s="9" t="s">
        <v>11</v>
      </c>
      <c r="E53" s="10"/>
      <c r="F53" s="9"/>
      <c r="G53" s="10"/>
      <c r="H53" s="10"/>
      <c r="I53" s="9"/>
      <c r="J53" s="11">
        <f>MIN(J54:J57)</f>
        <v>46335</v>
      </c>
      <c r="K53" s="11">
        <f>MAX(K54:K57)</f>
        <v>46338</v>
      </c>
      <c r="L53" s="9">
        <f t="shared" si="21"/>
        <v>4</v>
      </c>
      <c r="M53" s="9" t="str">
        <f ca="1">IF(COUNTIF(M54:M57,"Finalizado")=ROWS(M54:M57),"Finalizado",IF(OR(COUNTIF(M54:M57,"Demorado")&gt;0,COUNTIF(N54:N57,"Vencida")&gt;0),"Demorado",IF(COUNTIF(M54:M57,"En curso")+COUNTIF(M54:M57,"Finalizado")&gt;0,"En curso","No iniciado")))</f>
        <v>No iniciado</v>
      </c>
      <c r="N53" s="9" t="str">
        <f ca="1">IF(COUNTIF(N54:N57,"Vencida")&gt;0,COUNTIF(N54:N57,"Vencida")&amp;" vencida(s)","")</f>
        <v/>
      </c>
      <c r="O53" s="10" t="str">
        <f>COUNTIF(M54:M57,"Finalizado")&amp;" de "&amp;ROWS(M54:M57)&amp;" finalizadas"</f>
        <v>0 de 4 finalizadas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W53">
        <v>0</v>
      </c>
    </row>
    <row r="54" spans="1:53" ht="30" customHeight="1" outlineLevel="1" x14ac:dyDescent="0.3">
      <c r="A54" s="13" t="s">
        <v>226</v>
      </c>
      <c r="B54" s="14" t="s">
        <v>224</v>
      </c>
      <c r="C54" s="15" t="s">
        <v>227</v>
      </c>
      <c r="D54" s="13" t="s">
        <v>35</v>
      </c>
      <c r="E54" s="15" t="s">
        <v>228</v>
      </c>
      <c r="F54" s="14" t="s">
        <v>64</v>
      </c>
      <c r="G54" s="15" t="s">
        <v>138</v>
      </c>
      <c r="H54" s="15" t="s">
        <v>229</v>
      </c>
      <c r="I54" s="13" t="s">
        <v>40</v>
      </c>
      <c r="J54" s="16">
        <v>46335</v>
      </c>
      <c r="K54" s="16">
        <v>46336</v>
      </c>
      <c r="L54" s="13">
        <f t="shared" si="21"/>
        <v>2</v>
      </c>
      <c r="M54" s="17" t="s">
        <v>41</v>
      </c>
      <c r="N54" s="13" t="str">
        <f ca="1">IF(M54="Finalizado","",IF(K54&lt;Hoy!$C$4,"Vencida",IF(AND(J54&lt;=Hoy!$C$4,M54="No iniciado"),"Sin iniciar","")))</f>
        <v/>
      </c>
      <c r="O54" s="18"/>
      <c r="P54" s="19" t="str">
        <f t="shared" ref="P54:Y57" si="29">IF(AND($D54="Hito",P$5=$J54),"◆","")</f>
        <v/>
      </c>
      <c r="Q54" s="19" t="str">
        <f t="shared" si="29"/>
        <v/>
      </c>
      <c r="R54" s="19" t="str">
        <f t="shared" si="29"/>
        <v/>
      </c>
      <c r="S54" s="19" t="str">
        <f t="shared" si="29"/>
        <v/>
      </c>
      <c r="T54" s="19" t="str">
        <f t="shared" si="29"/>
        <v/>
      </c>
      <c r="U54" s="19" t="str">
        <f t="shared" si="29"/>
        <v/>
      </c>
      <c r="V54" s="19" t="str">
        <f t="shared" si="29"/>
        <v/>
      </c>
      <c r="W54" s="19" t="str">
        <f t="shared" si="29"/>
        <v/>
      </c>
      <c r="X54" s="19" t="str">
        <f t="shared" si="29"/>
        <v/>
      </c>
      <c r="Y54" s="19" t="str">
        <f t="shared" si="29"/>
        <v/>
      </c>
      <c r="Z54" s="19" t="str">
        <f t="shared" ref="Z54:AI57" si="30">IF(AND($D54="Hito",Z$5=$J54),"◆","")</f>
        <v/>
      </c>
      <c r="AA54" s="19" t="str">
        <f t="shared" si="30"/>
        <v/>
      </c>
      <c r="AB54" s="19" t="str">
        <f t="shared" si="30"/>
        <v/>
      </c>
      <c r="AC54" s="19" t="str">
        <f t="shared" si="30"/>
        <v/>
      </c>
      <c r="AD54" s="19" t="str">
        <f t="shared" si="30"/>
        <v/>
      </c>
      <c r="AE54" s="19" t="str">
        <f t="shared" si="30"/>
        <v/>
      </c>
      <c r="AF54" s="19" t="str">
        <f t="shared" si="30"/>
        <v/>
      </c>
      <c r="AG54" s="19" t="str">
        <f t="shared" si="30"/>
        <v/>
      </c>
      <c r="AH54" s="19" t="str">
        <f t="shared" si="30"/>
        <v/>
      </c>
      <c r="AI54" s="19" t="str">
        <f t="shared" si="30"/>
        <v/>
      </c>
      <c r="AJ54" s="19" t="str">
        <f t="shared" ref="AJ54:AU57" si="31">IF(AND($D54="Hito",AJ$5=$J54),"◆","")</f>
        <v/>
      </c>
      <c r="AK54" s="19" t="str">
        <f t="shared" si="31"/>
        <v/>
      </c>
      <c r="AL54" s="19" t="str">
        <f t="shared" si="31"/>
        <v/>
      </c>
      <c r="AM54" s="19" t="str">
        <f t="shared" si="31"/>
        <v/>
      </c>
      <c r="AN54" s="19" t="str">
        <f t="shared" si="31"/>
        <v/>
      </c>
      <c r="AO54" s="19" t="str">
        <f t="shared" si="31"/>
        <v/>
      </c>
      <c r="AP54" s="19" t="str">
        <f t="shared" si="31"/>
        <v/>
      </c>
      <c r="AQ54" s="19" t="str">
        <f t="shared" si="31"/>
        <v/>
      </c>
      <c r="AR54" s="19" t="str">
        <f t="shared" si="31"/>
        <v/>
      </c>
      <c r="AS54" s="19" t="str">
        <f t="shared" si="31"/>
        <v/>
      </c>
      <c r="AT54" s="19" t="str">
        <f t="shared" si="31"/>
        <v/>
      </c>
      <c r="AU54" s="19" t="str">
        <f t="shared" si="31"/>
        <v/>
      </c>
      <c r="AW54">
        <v>1</v>
      </c>
      <c r="AX54">
        <f ca="1">IF(AND(J54&lt;=Hoy!$C$4,K54&gt;=Hoy!$C$4),1,0)</f>
        <v>0</v>
      </c>
      <c r="AY54" t="str">
        <f ca="1">IF(AX54=1,SUM($AX$6:AX54),"")</f>
        <v/>
      </c>
      <c r="AZ54">
        <f ca="1">IF(N54="Vencida",1,0)</f>
        <v>0</v>
      </c>
      <c r="BA54" t="str">
        <f ca="1">IF(AZ54=1,SUM($AZ$6:AZ54),"")</f>
        <v/>
      </c>
    </row>
    <row r="55" spans="1:53" ht="30" customHeight="1" outlineLevel="1" x14ac:dyDescent="0.3">
      <c r="A55" s="13" t="s">
        <v>230</v>
      </c>
      <c r="B55" s="14" t="s">
        <v>224</v>
      </c>
      <c r="C55" s="15" t="s">
        <v>231</v>
      </c>
      <c r="D55" s="13" t="s">
        <v>35</v>
      </c>
      <c r="E55" s="15" t="s">
        <v>232</v>
      </c>
      <c r="F55" s="14" t="s">
        <v>117</v>
      </c>
      <c r="G55" s="15" t="s">
        <v>118</v>
      </c>
      <c r="H55" s="15" t="s">
        <v>233</v>
      </c>
      <c r="I55" s="13" t="s">
        <v>40</v>
      </c>
      <c r="J55" s="16">
        <v>46335</v>
      </c>
      <c r="K55" s="16">
        <v>46336</v>
      </c>
      <c r="L55" s="13">
        <f t="shared" si="21"/>
        <v>2</v>
      </c>
      <c r="M55" s="17" t="s">
        <v>41</v>
      </c>
      <c r="N55" s="13" t="str">
        <f ca="1">IF(M55="Finalizado","",IF(K55&lt;Hoy!$C$4,"Vencida",IF(AND(J55&lt;=Hoy!$C$4,M55="No iniciado"),"Sin iniciar","")))</f>
        <v/>
      </c>
      <c r="O55" s="18"/>
      <c r="P55" s="19" t="str">
        <f t="shared" si="29"/>
        <v/>
      </c>
      <c r="Q55" s="19" t="str">
        <f t="shared" si="29"/>
        <v/>
      </c>
      <c r="R55" s="19" t="str">
        <f t="shared" si="29"/>
        <v/>
      </c>
      <c r="S55" s="19" t="str">
        <f t="shared" si="29"/>
        <v/>
      </c>
      <c r="T55" s="19" t="str">
        <f t="shared" si="29"/>
        <v/>
      </c>
      <c r="U55" s="19" t="str">
        <f t="shared" si="29"/>
        <v/>
      </c>
      <c r="V55" s="19" t="str">
        <f t="shared" si="29"/>
        <v/>
      </c>
      <c r="W55" s="19" t="str">
        <f t="shared" si="29"/>
        <v/>
      </c>
      <c r="X55" s="19" t="str">
        <f t="shared" si="29"/>
        <v/>
      </c>
      <c r="Y55" s="19" t="str">
        <f t="shared" si="29"/>
        <v/>
      </c>
      <c r="Z55" s="19" t="str">
        <f t="shared" si="30"/>
        <v/>
      </c>
      <c r="AA55" s="19" t="str">
        <f t="shared" si="30"/>
        <v/>
      </c>
      <c r="AB55" s="19" t="str">
        <f t="shared" si="30"/>
        <v/>
      </c>
      <c r="AC55" s="19" t="str">
        <f t="shared" si="30"/>
        <v/>
      </c>
      <c r="AD55" s="19" t="str">
        <f t="shared" si="30"/>
        <v/>
      </c>
      <c r="AE55" s="19" t="str">
        <f t="shared" si="30"/>
        <v/>
      </c>
      <c r="AF55" s="19" t="str">
        <f t="shared" si="30"/>
        <v/>
      </c>
      <c r="AG55" s="19" t="str">
        <f t="shared" si="30"/>
        <v/>
      </c>
      <c r="AH55" s="19" t="str">
        <f t="shared" si="30"/>
        <v/>
      </c>
      <c r="AI55" s="19" t="str">
        <f t="shared" si="30"/>
        <v/>
      </c>
      <c r="AJ55" s="19" t="str">
        <f t="shared" si="31"/>
        <v/>
      </c>
      <c r="AK55" s="19" t="str">
        <f t="shared" si="31"/>
        <v/>
      </c>
      <c r="AL55" s="19" t="str">
        <f t="shared" si="31"/>
        <v/>
      </c>
      <c r="AM55" s="19" t="str">
        <f t="shared" si="31"/>
        <v/>
      </c>
      <c r="AN55" s="19" t="str">
        <f t="shared" si="31"/>
        <v/>
      </c>
      <c r="AO55" s="19" t="str">
        <f t="shared" si="31"/>
        <v/>
      </c>
      <c r="AP55" s="19" t="str">
        <f t="shared" si="31"/>
        <v/>
      </c>
      <c r="AQ55" s="19" t="str">
        <f t="shared" si="31"/>
        <v/>
      </c>
      <c r="AR55" s="19" t="str">
        <f t="shared" si="31"/>
        <v/>
      </c>
      <c r="AS55" s="19" t="str">
        <f t="shared" si="31"/>
        <v/>
      </c>
      <c r="AT55" s="19" t="str">
        <f t="shared" si="31"/>
        <v/>
      </c>
      <c r="AU55" s="19" t="str">
        <f t="shared" si="31"/>
        <v/>
      </c>
      <c r="AW55">
        <v>1</v>
      </c>
      <c r="AX55">
        <f ca="1">IF(AND(J55&lt;=Hoy!$C$4,K55&gt;=Hoy!$C$4),1,0)</f>
        <v>0</v>
      </c>
      <c r="AY55" t="str">
        <f ca="1">IF(AX55=1,SUM($AX$6:AX55),"")</f>
        <v/>
      </c>
      <c r="AZ55">
        <f ca="1">IF(N55="Vencida",1,0)</f>
        <v>0</v>
      </c>
      <c r="BA55" t="str">
        <f ca="1">IF(AZ55=1,SUM($AZ$6:AZ55),"")</f>
        <v/>
      </c>
    </row>
    <row r="56" spans="1:53" ht="30" customHeight="1" outlineLevel="1" x14ac:dyDescent="0.3">
      <c r="A56" s="13" t="s">
        <v>234</v>
      </c>
      <c r="B56" s="14" t="s">
        <v>224</v>
      </c>
      <c r="C56" s="15" t="s">
        <v>235</v>
      </c>
      <c r="D56" s="13" t="s">
        <v>35</v>
      </c>
      <c r="E56" s="15" t="s">
        <v>236</v>
      </c>
      <c r="F56" s="14" t="s">
        <v>87</v>
      </c>
      <c r="G56" s="15" t="s">
        <v>146</v>
      </c>
      <c r="H56" s="15" t="s">
        <v>237</v>
      </c>
      <c r="I56" s="13" t="s">
        <v>40</v>
      </c>
      <c r="J56" s="16">
        <v>46336</v>
      </c>
      <c r="K56" s="16">
        <v>46337</v>
      </c>
      <c r="L56" s="13">
        <f t="shared" si="21"/>
        <v>2</v>
      </c>
      <c r="M56" s="17" t="s">
        <v>41</v>
      </c>
      <c r="N56" s="13" t="str">
        <f ca="1">IF(M56="Finalizado","",IF(K56&lt;Hoy!$C$4,"Vencida",IF(AND(J56&lt;=Hoy!$C$4,M56="No iniciado"),"Sin iniciar","")))</f>
        <v/>
      </c>
      <c r="O56" s="18"/>
      <c r="P56" s="19" t="str">
        <f t="shared" si="29"/>
        <v/>
      </c>
      <c r="Q56" s="19" t="str">
        <f t="shared" si="29"/>
        <v/>
      </c>
      <c r="R56" s="19" t="str">
        <f t="shared" si="29"/>
        <v/>
      </c>
      <c r="S56" s="19" t="str">
        <f t="shared" si="29"/>
        <v/>
      </c>
      <c r="T56" s="19" t="str">
        <f t="shared" si="29"/>
        <v/>
      </c>
      <c r="U56" s="19" t="str">
        <f t="shared" si="29"/>
        <v/>
      </c>
      <c r="V56" s="19" t="str">
        <f t="shared" si="29"/>
        <v/>
      </c>
      <c r="W56" s="19" t="str">
        <f t="shared" si="29"/>
        <v/>
      </c>
      <c r="X56" s="19" t="str">
        <f t="shared" si="29"/>
        <v/>
      </c>
      <c r="Y56" s="19" t="str">
        <f t="shared" si="29"/>
        <v/>
      </c>
      <c r="Z56" s="19" t="str">
        <f t="shared" si="30"/>
        <v/>
      </c>
      <c r="AA56" s="19" t="str">
        <f t="shared" si="30"/>
        <v/>
      </c>
      <c r="AB56" s="19" t="str">
        <f t="shared" si="30"/>
        <v/>
      </c>
      <c r="AC56" s="19" t="str">
        <f t="shared" si="30"/>
        <v/>
      </c>
      <c r="AD56" s="19" t="str">
        <f t="shared" si="30"/>
        <v/>
      </c>
      <c r="AE56" s="19" t="str">
        <f t="shared" si="30"/>
        <v/>
      </c>
      <c r="AF56" s="19" t="str">
        <f t="shared" si="30"/>
        <v/>
      </c>
      <c r="AG56" s="19" t="str">
        <f t="shared" si="30"/>
        <v/>
      </c>
      <c r="AH56" s="19" t="str">
        <f t="shared" si="30"/>
        <v/>
      </c>
      <c r="AI56" s="19" t="str">
        <f t="shared" si="30"/>
        <v/>
      </c>
      <c r="AJ56" s="19" t="str">
        <f t="shared" si="31"/>
        <v/>
      </c>
      <c r="AK56" s="19" t="str">
        <f t="shared" si="31"/>
        <v/>
      </c>
      <c r="AL56" s="19" t="str">
        <f t="shared" si="31"/>
        <v/>
      </c>
      <c r="AM56" s="19" t="str">
        <f t="shared" si="31"/>
        <v/>
      </c>
      <c r="AN56" s="19" t="str">
        <f t="shared" si="31"/>
        <v/>
      </c>
      <c r="AO56" s="19" t="str">
        <f t="shared" si="31"/>
        <v/>
      </c>
      <c r="AP56" s="19" t="str">
        <f t="shared" si="31"/>
        <v/>
      </c>
      <c r="AQ56" s="19" t="str">
        <f t="shared" si="31"/>
        <v/>
      </c>
      <c r="AR56" s="19" t="str">
        <f t="shared" si="31"/>
        <v/>
      </c>
      <c r="AS56" s="19" t="str">
        <f t="shared" si="31"/>
        <v/>
      </c>
      <c r="AT56" s="19" t="str">
        <f t="shared" si="31"/>
        <v/>
      </c>
      <c r="AU56" s="19" t="str">
        <f t="shared" si="31"/>
        <v/>
      </c>
      <c r="AW56">
        <v>1</v>
      </c>
      <c r="AX56">
        <f ca="1">IF(AND(J56&lt;=Hoy!$C$4,K56&gt;=Hoy!$C$4),1,0)</f>
        <v>0</v>
      </c>
      <c r="AY56" t="str">
        <f ca="1">IF(AX56=1,SUM($AX$6:AX56),"")</f>
        <v/>
      </c>
      <c r="AZ56">
        <f ca="1">IF(N56="Vencida",1,0)</f>
        <v>0</v>
      </c>
      <c r="BA56" t="str">
        <f ca="1">IF(AZ56=1,SUM($AZ$6:AZ56),"")</f>
        <v/>
      </c>
    </row>
    <row r="57" spans="1:53" ht="30" customHeight="1" outlineLevel="1" x14ac:dyDescent="0.3">
      <c r="A57" s="13" t="s">
        <v>238</v>
      </c>
      <c r="B57" s="14" t="s">
        <v>224</v>
      </c>
      <c r="C57" s="20" t="s">
        <v>239</v>
      </c>
      <c r="D57" s="13" t="s">
        <v>78</v>
      </c>
      <c r="E57" s="15" t="s">
        <v>240</v>
      </c>
      <c r="F57" s="14" t="s">
        <v>87</v>
      </c>
      <c r="G57" s="15" t="s">
        <v>50</v>
      </c>
      <c r="H57" s="15" t="s">
        <v>241</v>
      </c>
      <c r="I57" s="13" t="s">
        <v>40</v>
      </c>
      <c r="J57" s="16">
        <v>46338</v>
      </c>
      <c r="K57" s="16">
        <v>46338</v>
      </c>
      <c r="L57" s="13">
        <f t="shared" si="21"/>
        <v>1</v>
      </c>
      <c r="M57" s="17" t="s">
        <v>41</v>
      </c>
      <c r="N57" s="13" t="str">
        <f ca="1">IF(M57="Finalizado","",IF(K57&lt;Hoy!$C$4,"Vencida",IF(AND(J57&lt;=Hoy!$C$4,M57="No iniciado"),"Sin iniciar","")))</f>
        <v/>
      </c>
      <c r="O57" s="18"/>
      <c r="P57" s="19" t="str">
        <f t="shared" si="29"/>
        <v/>
      </c>
      <c r="Q57" s="19" t="str">
        <f t="shared" si="29"/>
        <v/>
      </c>
      <c r="R57" s="19" t="str">
        <f t="shared" si="29"/>
        <v/>
      </c>
      <c r="S57" s="19" t="str">
        <f t="shared" si="29"/>
        <v/>
      </c>
      <c r="T57" s="19" t="str">
        <f t="shared" si="29"/>
        <v/>
      </c>
      <c r="U57" s="19" t="str">
        <f t="shared" si="29"/>
        <v/>
      </c>
      <c r="V57" s="19" t="str">
        <f t="shared" si="29"/>
        <v/>
      </c>
      <c r="W57" s="19" t="str">
        <f t="shared" si="29"/>
        <v/>
      </c>
      <c r="X57" s="19" t="str">
        <f t="shared" si="29"/>
        <v/>
      </c>
      <c r="Y57" s="19" t="str">
        <f t="shared" si="29"/>
        <v/>
      </c>
      <c r="Z57" s="19" t="str">
        <f t="shared" si="30"/>
        <v/>
      </c>
      <c r="AA57" s="19" t="str">
        <f t="shared" si="30"/>
        <v/>
      </c>
      <c r="AB57" s="19" t="str">
        <f t="shared" si="30"/>
        <v/>
      </c>
      <c r="AC57" s="19" t="str">
        <f t="shared" si="30"/>
        <v/>
      </c>
      <c r="AD57" s="19" t="str">
        <f t="shared" si="30"/>
        <v/>
      </c>
      <c r="AE57" s="19" t="str">
        <f t="shared" si="30"/>
        <v/>
      </c>
      <c r="AF57" s="19" t="str">
        <f t="shared" si="30"/>
        <v/>
      </c>
      <c r="AG57" s="19" t="str">
        <f t="shared" si="30"/>
        <v/>
      </c>
      <c r="AH57" s="19" t="str">
        <f t="shared" si="30"/>
        <v/>
      </c>
      <c r="AI57" s="19" t="str">
        <f t="shared" si="30"/>
        <v/>
      </c>
      <c r="AJ57" s="19" t="str">
        <f t="shared" si="31"/>
        <v/>
      </c>
      <c r="AK57" s="19" t="str">
        <f t="shared" si="31"/>
        <v/>
      </c>
      <c r="AL57" s="19" t="str">
        <f t="shared" si="31"/>
        <v/>
      </c>
      <c r="AM57" s="19" t="str">
        <f t="shared" si="31"/>
        <v>◆</v>
      </c>
      <c r="AN57" s="19" t="str">
        <f t="shared" si="31"/>
        <v/>
      </c>
      <c r="AO57" s="19" t="str">
        <f t="shared" si="31"/>
        <v/>
      </c>
      <c r="AP57" s="19" t="str">
        <f t="shared" si="31"/>
        <v/>
      </c>
      <c r="AQ57" s="19" t="str">
        <f t="shared" si="31"/>
        <v/>
      </c>
      <c r="AR57" s="19" t="str">
        <f t="shared" si="31"/>
        <v/>
      </c>
      <c r="AS57" s="19" t="str">
        <f t="shared" si="31"/>
        <v/>
      </c>
      <c r="AT57" s="19" t="str">
        <f t="shared" si="31"/>
        <v/>
      </c>
      <c r="AU57" s="19" t="str">
        <f t="shared" si="31"/>
        <v/>
      </c>
      <c r="AW57">
        <v>1</v>
      </c>
      <c r="AX57">
        <f ca="1">IF(AND(J57&lt;=Hoy!$C$4,K57&gt;=Hoy!$C$4),1,0)</f>
        <v>0</v>
      </c>
      <c r="AY57" t="str">
        <f ca="1">IF(AX57=1,SUM($AX$6:AX57),"")</f>
        <v/>
      </c>
      <c r="AZ57">
        <f ca="1">IF(N57="Vencida",1,0)</f>
        <v>0</v>
      </c>
      <c r="BA57" t="str">
        <f ca="1">IF(AZ57=1,SUM($AZ$6:AZ57),"")</f>
        <v/>
      </c>
    </row>
    <row r="58" spans="1:53" ht="18" customHeight="1" x14ac:dyDescent="0.3">
      <c r="A58" s="9" t="s">
        <v>242</v>
      </c>
      <c r="B58" s="10" t="s">
        <v>243</v>
      </c>
      <c r="C58" s="10" t="s">
        <v>244</v>
      </c>
      <c r="D58" s="9" t="s">
        <v>11</v>
      </c>
      <c r="E58" s="10"/>
      <c r="F58" s="9"/>
      <c r="G58" s="10"/>
      <c r="H58" s="10"/>
      <c r="I58" s="9"/>
      <c r="J58" s="11">
        <f>MIN(J59:J63)</f>
        <v>46335</v>
      </c>
      <c r="K58" s="11">
        <f>MAX(K59:K63)</f>
        <v>46346</v>
      </c>
      <c r="L58" s="9">
        <f t="shared" si="21"/>
        <v>12</v>
      </c>
      <c r="M58" s="9" t="str">
        <f ca="1">IF(COUNTIF(M59:M63,"Finalizado")=ROWS(M59:M63),"Finalizado",IF(OR(COUNTIF(M59:M63,"Demorado")&gt;0,COUNTIF(N59:N63,"Vencida")&gt;0),"Demorado",IF(COUNTIF(M59:M63,"En curso")+COUNTIF(M59:M63,"Finalizado")&gt;0,"En curso","No iniciado")))</f>
        <v>No iniciado</v>
      </c>
      <c r="N58" s="9" t="str">
        <f ca="1">IF(COUNTIF(N59:N63,"Vencida")&gt;0,COUNTIF(N59:N63,"Vencida")&amp;" vencida(s)","")</f>
        <v/>
      </c>
      <c r="O58" s="10" t="str">
        <f>COUNTIF(M59:M63,"Finalizado")&amp;" de "&amp;ROWS(M59:M63)&amp;" finalizadas"</f>
        <v>0 de 5 finalizadas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W58">
        <v>0</v>
      </c>
    </row>
    <row r="59" spans="1:53" ht="30" customHeight="1" outlineLevel="1" x14ac:dyDescent="0.3">
      <c r="A59" s="13" t="s">
        <v>245</v>
      </c>
      <c r="B59" s="14" t="s">
        <v>243</v>
      </c>
      <c r="C59" s="15" t="s">
        <v>246</v>
      </c>
      <c r="D59" s="13" t="s">
        <v>35</v>
      </c>
      <c r="E59" s="15" t="s">
        <v>247</v>
      </c>
      <c r="F59" s="14" t="s">
        <v>37</v>
      </c>
      <c r="G59" s="15" t="s">
        <v>38</v>
      </c>
      <c r="H59" s="15" t="s">
        <v>248</v>
      </c>
      <c r="I59" s="13" t="s">
        <v>40</v>
      </c>
      <c r="J59" s="16">
        <v>46335</v>
      </c>
      <c r="K59" s="16">
        <v>46339</v>
      </c>
      <c r="L59" s="13">
        <f t="shared" si="21"/>
        <v>5</v>
      </c>
      <c r="M59" s="17" t="s">
        <v>41</v>
      </c>
      <c r="N59" s="13" t="str">
        <f ca="1">IF(M59="Finalizado","",IF(K59&lt;Hoy!$C$4,"Vencida",IF(AND(J59&lt;=Hoy!$C$4,M59="No iniciado"),"Sin iniciar","")))</f>
        <v/>
      </c>
      <c r="O59" s="18"/>
      <c r="P59" s="19" t="str">
        <f t="shared" ref="P59:Y63" si="32">IF(AND($D59="Hito",P$5=$J59),"◆","")</f>
        <v/>
      </c>
      <c r="Q59" s="19" t="str">
        <f t="shared" si="32"/>
        <v/>
      </c>
      <c r="R59" s="19" t="str">
        <f t="shared" si="32"/>
        <v/>
      </c>
      <c r="S59" s="19" t="str">
        <f t="shared" si="32"/>
        <v/>
      </c>
      <c r="T59" s="19" t="str">
        <f t="shared" si="32"/>
        <v/>
      </c>
      <c r="U59" s="19" t="str">
        <f t="shared" si="32"/>
        <v/>
      </c>
      <c r="V59" s="19" t="str">
        <f t="shared" si="32"/>
        <v/>
      </c>
      <c r="W59" s="19" t="str">
        <f t="shared" si="32"/>
        <v/>
      </c>
      <c r="X59" s="19" t="str">
        <f t="shared" si="32"/>
        <v/>
      </c>
      <c r="Y59" s="19" t="str">
        <f t="shared" si="32"/>
        <v/>
      </c>
      <c r="Z59" s="19" t="str">
        <f t="shared" ref="Z59:AI63" si="33">IF(AND($D59="Hito",Z$5=$J59),"◆","")</f>
        <v/>
      </c>
      <c r="AA59" s="19" t="str">
        <f t="shared" si="33"/>
        <v/>
      </c>
      <c r="AB59" s="19" t="str">
        <f t="shared" si="33"/>
        <v/>
      </c>
      <c r="AC59" s="19" t="str">
        <f t="shared" si="33"/>
        <v/>
      </c>
      <c r="AD59" s="19" t="str">
        <f t="shared" si="33"/>
        <v/>
      </c>
      <c r="AE59" s="19" t="str">
        <f t="shared" si="33"/>
        <v/>
      </c>
      <c r="AF59" s="19" t="str">
        <f t="shared" si="33"/>
        <v/>
      </c>
      <c r="AG59" s="19" t="str">
        <f t="shared" si="33"/>
        <v/>
      </c>
      <c r="AH59" s="19" t="str">
        <f t="shared" si="33"/>
        <v/>
      </c>
      <c r="AI59" s="19" t="str">
        <f t="shared" si="33"/>
        <v/>
      </c>
      <c r="AJ59" s="19" t="str">
        <f t="shared" ref="AJ59:AU63" si="34">IF(AND($D59="Hito",AJ$5=$J59),"◆","")</f>
        <v/>
      </c>
      <c r="AK59" s="19" t="str">
        <f t="shared" si="34"/>
        <v/>
      </c>
      <c r="AL59" s="19" t="str">
        <f t="shared" si="34"/>
        <v/>
      </c>
      <c r="AM59" s="19" t="str">
        <f t="shared" si="34"/>
        <v/>
      </c>
      <c r="AN59" s="19" t="str">
        <f t="shared" si="34"/>
        <v/>
      </c>
      <c r="AO59" s="19" t="str">
        <f t="shared" si="34"/>
        <v/>
      </c>
      <c r="AP59" s="19" t="str">
        <f t="shared" si="34"/>
        <v/>
      </c>
      <c r="AQ59" s="19" t="str">
        <f t="shared" si="34"/>
        <v/>
      </c>
      <c r="AR59" s="19" t="str">
        <f t="shared" si="34"/>
        <v/>
      </c>
      <c r="AS59" s="19" t="str">
        <f t="shared" si="34"/>
        <v/>
      </c>
      <c r="AT59" s="19" t="str">
        <f t="shared" si="34"/>
        <v/>
      </c>
      <c r="AU59" s="19" t="str">
        <f t="shared" si="34"/>
        <v/>
      </c>
      <c r="AW59">
        <v>1</v>
      </c>
      <c r="AX59">
        <f ca="1">IF(AND(J59&lt;=Hoy!$C$4,K59&gt;=Hoy!$C$4),1,0)</f>
        <v>0</v>
      </c>
      <c r="AY59" t="str">
        <f ca="1">IF(AX59=1,SUM($AX$6:AX59),"")</f>
        <v/>
      </c>
      <c r="AZ59">
        <f ca="1">IF(N59="Vencida",1,0)</f>
        <v>0</v>
      </c>
      <c r="BA59" t="str">
        <f ca="1">IF(AZ59=1,SUM($AZ$6:AZ59),"")</f>
        <v/>
      </c>
    </row>
    <row r="60" spans="1:53" ht="30" customHeight="1" outlineLevel="1" x14ac:dyDescent="0.3">
      <c r="A60" s="13" t="s">
        <v>249</v>
      </c>
      <c r="B60" s="14" t="s">
        <v>243</v>
      </c>
      <c r="C60" s="15" t="s">
        <v>250</v>
      </c>
      <c r="D60" s="13" t="s">
        <v>35</v>
      </c>
      <c r="E60" s="15" t="s">
        <v>251</v>
      </c>
      <c r="F60" s="14" t="s">
        <v>117</v>
      </c>
      <c r="G60" s="15" t="s">
        <v>252</v>
      </c>
      <c r="H60" s="15" t="s">
        <v>253</v>
      </c>
      <c r="I60" s="13" t="s">
        <v>67</v>
      </c>
      <c r="J60" s="16">
        <v>46335</v>
      </c>
      <c r="K60" s="16">
        <v>46346</v>
      </c>
      <c r="L60" s="13">
        <f t="shared" si="21"/>
        <v>12</v>
      </c>
      <c r="M60" s="17" t="s">
        <v>41</v>
      </c>
      <c r="N60" s="13" t="str">
        <f ca="1">IF(M60="Finalizado","",IF(K60&lt;Hoy!$C$4,"Vencida",IF(AND(J60&lt;=Hoy!$C$4,M60="No iniciado"),"Sin iniciar","")))</f>
        <v/>
      </c>
      <c r="O60" s="18"/>
      <c r="P60" s="19" t="str">
        <f t="shared" si="32"/>
        <v/>
      </c>
      <c r="Q60" s="19" t="str">
        <f t="shared" si="32"/>
        <v/>
      </c>
      <c r="R60" s="19" t="str">
        <f t="shared" si="32"/>
        <v/>
      </c>
      <c r="S60" s="19" t="str">
        <f t="shared" si="32"/>
        <v/>
      </c>
      <c r="T60" s="19" t="str">
        <f t="shared" si="32"/>
        <v/>
      </c>
      <c r="U60" s="19" t="str">
        <f t="shared" si="32"/>
        <v/>
      </c>
      <c r="V60" s="19" t="str">
        <f t="shared" si="32"/>
        <v/>
      </c>
      <c r="W60" s="19" t="str">
        <f t="shared" si="32"/>
        <v/>
      </c>
      <c r="X60" s="19" t="str">
        <f t="shared" si="32"/>
        <v/>
      </c>
      <c r="Y60" s="19" t="str">
        <f t="shared" si="32"/>
        <v/>
      </c>
      <c r="Z60" s="19" t="str">
        <f t="shared" si="33"/>
        <v/>
      </c>
      <c r="AA60" s="19" t="str">
        <f t="shared" si="33"/>
        <v/>
      </c>
      <c r="AB60" s="19" t="str">
        <f t="shared" si="33"/>
        <v/>
      </c>
      <c r="AC60" s="19" t="str">
        <f t="shared" si="33"/>
        <v/>
      </c>
      <c r="AD60" s="19" t="str">
        <f t="shared" si="33"/>
        <v/>
      </c>
      <c r="AE60" s="19" t="str">
        <f t="shared" si="33"/>
        <v/>
      </c>
      <c r="AF60" s="19" t="str">
        <f t="shared" si="33"/>
        <v/>
      </c>
      <c r="AG60" s="19" t="str">
        <f t="shared" si="33"/>
        <v/>
      </c>
      <c r="AH60" s="19" t="str">
        <f t="shared" si="33"/>
        <v/>
      </c>
      <c r="AI60" s="19" t="str">
        <f t="shared" si="33"/>
        <v/>
      </c>
      <c r="AJ60" s="19" t="str">
        <f t="shared" si="34"/>
        <v/>
      </c>
      <c r="AK60" s="19" t="str">
        <f t="shared" si="34"/>
        <v/>
      </c>
      <c r="AL60" s="19" t="str">
        <f t="shared" si="34"/>
        <v/>
      </c>
      <c r="AM60" s="19" t="str">
        <f t="shared" si="34"/>
        <v/>
      </c>
      <c r="AN60" s="19" t="str">
        <f t="shared" si="34"/>
        <v/>
      </c>
      <c r="AO60" s="19" t="str">
        <f t="shared" si="34"/>
        <v/>
      </c>
      <c r="AP60" s="19" t="str">
        <f t="shared" si="34"/>
        <v/>
      </c>
      <c r="AQ60" s="19" t="str">
        <f t="shared" si="34"/>
        <v/>
      </c>
      <c r="AR60" s="19" t="str">
        <f t="shared" si="34"/>
        <v/>
      </c>
      <c r="AS60" s="19" t="str">
        <f t="shared" si="34"/>
        <v/>
      </c>
      <c r="AT60" s="19" t="str">
        <f t="shared" si="34"/>
        <v/>
      </c>
      <c r="AU60" s="19" t="str">
        <f t="shared" si="34"/>
        <v/>
      </c>
      <c r="AW60">
        <v>1</v>
      </c>
      <c r="AX60">
        <f ca="1">IF(AND(J60&lt;=Hoy!$C$4,K60&gt;=Hoy!$C$4),1,0)</f>
        <v>0</v>
      </c>
      <c r="AY60" t="str">
        <f ca="1">IF(AX60=1,SUM($AX$6:AX60),"")</f>
        <v/>
      </c>
      <c r="AZ60">
        <f ca="1">IF(N60="Vencida",1,0)</f>
        <v>0</v>
      </c>
      <c r="BA60" t="str">
        <f ca="1">IF(AZ60=1,SUM($AZ$6:AZ60),"")</f>
        <v/>
      </c>
    </row>
    <row r="61" spans="1:53" ht="30" customHeight="1" outlineLevel="1" x14ac:dyDescent="0.3">
      <c r="A61" s="13" t="s">
        <v>254</v>
      </c>
      <c r="B61" s="14" t="s">
        <v>243</v>
      </c>
      <c r="C61" s="15" t="s">
        <v>255</v>
      </c>
      <c r="D61" s="13" t="s">
        <v>35</v>
      </c>
      <c r="E61" s="15" t="s">
        <v>256</v>
      </c>
      <c r="F61" s="14" t="s">
        <v>87</v>
      </c>
      <c r="G61" s="15" t="s">
        <v>257</v>
      </c>
      <c r="H61" s="15" t="s">
        <v>258</v>
      </c>
      <c r="I61" s="13" t="s">
        <v>67</v>
      </c>
      <c r="J61" s="16">
        <v>46335</v>
      </c>
      <c r="K61" s="16">
        <v>46346</v>
      </c>
      <c r="L61" s="13">
        <f t="shared" si="21"/>
        <v>12</v>
      </c>
      <c r="M61" s="17" t="s">
        <v>41</v>
      </c>
      <c r="N61" s="13" t="str">
        <f ca="1">IF(M61="Finalizado","",IF(K61&lt;Hoy!$C$4,"Vencida",IF(AND(J61&lt;=Hoy!$C$4,M61="No iniciado"),"Sin iniciar","")))</f>
        <v/>
      </c>
      <c r="O61" s="18"/>
      <c r="P61" s="19" t="str">
        <f t="shared" si="32"/>
        <v/>
      </c>
      <c r="Q61" s="19" t="str">
        <f t="shared" si="32"/>
        <v/>
      </c>
      <c r="R61" s="19" t="str">
        <f t="shared" si="32"/>
        <v/>
      </c>
      <c r="S61" s="19" t="str">
        <f t="shared" si="32"/>
        <v/>
      </c>
      <c r="T61" s="19" t="str">
        <f t="shared" si="32"/>
        <v/>
      </c>
      <c r="U61" s="19" t="str">
        <f t="shared" si="32"/>
        <v/>
      </c>
      <c r="V61" s="19" t="str">
        <f t="shared" si="32"/>
        <v/>
      </c>
      <c r="W61" s="19" t="str">
        <f t="shared" si="32"/>
        <v/>
      </c>
      <c r="X61" s="19" t="str">
        <f t="shared" si="32"/>
        <v/>
      </c>
      <c r="Y61" s="19" t="str">
        <f t="shared" si="32"/>
        <v/>
      </c>
      <c r="Z61" s="19" t="str">
        <f t="shared" si="33"/>
        <v/>
      </c>
      <c r="AA61" s="19" t="str">
        <f t="shared" si="33"/>
        <v/>
      </c>
      <c r="AB61" s="19" t="str">
        <f t="shared" si="33"/>
        <v/>
      </c>
      <c r="AC61" s="19" t="str">
        <f t="shared" si="33"/>
        <v/>
      </c>
      <c r="AD61" s="19" t="str">
        <f t="shared" si="33"/>
        <v/>
      </c>
      <c r="AE61" s="19" t="str">
        <f t="shared" si="33"/>
        <v/>
      </c>
      <c r="AF61" s="19" t="str">
        <f t="shared" si="33"/>
        <v/>
      </c>
      <c r="AG61" s="19" t="str">
        <f t="shared" si="33"/>
        <v/>
      </c>
      <c r="AH61" s="19" t="str">
        <f t="shared" si="33"/>
        <v/>
      </c>
      <c r="AI61" s="19" t="str">
        <f t="shared" si="33"/>
        <v/>
      </c>
      <c r="AJ61" s="19" t="str">
        <f t="shared" si="34"/>
        <v/>
      </c>
      <c r="AK61" s="19" t="str">
        <f t="shared" si="34"/>
        <v/>
      </c>
      <c r="AL61" s="19" t="str">
        <f t="shared" si="34"/>
        <v/>
      </c>
      <c r="AM61" s="19" t="str">
        <f t="shared" si="34"/>
        <v/>
      </c>
      <c r="AN61" s="19" t="str">
        <f t="shared" si="34"/>
        <v/>
      </c>
      <c r="AO61" s="19" t="str">
        <f t="shared" si="34"/>
        <v/>
      </c>
      <c r="AP61" s="19" t="str">
        <f t="shared" si="34"/>
        <v/>
      </c>
      <c r="AQ61" s="19" t="str">
        <f t="shared" si="34"/>
        <v/>
      </c>
      <c r="AR61" s="19" t="str">
        <f t="shared" si="34"/>
        <v/>
      </c>
      <c r="AS61" s="19" t="str">
        <f t="shared" si="34"/>
        <v/>
      </c>
      <c r="AT61" s="19" t="str">
        <f t="shared" si="34"/>
        <v/>
      </c>
      <c r="AU61" s="19" t="str">
        <f t="shared" si="34"/>
        <v/>
      </c>
      <c r="AW61">
        <v>1</v>
      </c>
      <c r="AX61">
        <f ca="1">IF(AND(J61&lt;=Hoy!$C$4,K61&gt;=Hoy!$C$4),1,0)</f>
        <v>0</v>
      </c>
      <c r="AY61" t="str">
        <f ca="1">IF(AX61=1,SUM($AX$6:AX61),"")</f>
        <v/>
      </c>
      <c r="AZ61">
        <f ca="1">IF(N61="Vencida",1,0)</f>
        <v>0</v>
      </c>
      <c r="BA61" t="str">
        <f ca="1">IF(AZ61=1,SUM($AZ$6:AZ61),"")</f>
        <v/>
      </c>
    </row>
    <row r="62" spans="1:53" ht="30" customHeight="1" outlineLevel="1" x14ac:dyDescent="0.3">
      <c r="A62" s="13" t="s">
        <v>259</v>
      </c>
      <c r="B62" s="14" t="s">
        <v>243</v>
      </c>
      <c r="C62" s="15" t="s">
        <v>260</v>
      </c>
      <c r="D62" s="13" t="s">
        <v>35</v>
      </c>
      <c r="E62" s="15" t="s">
        <v>261</v>
      </c>
      <c r="F62" s="14" t="s">
        <v>72</v>
      </c>
      <c r="G62" s="15" t="s">
        <v>262</v>
      </c>
      <c r="H62" s="15" t="s">
        <v>263</v>
      </c>
      <c r="I62" s="13" t="s">
        <v>67</v>
      </c>
      <c r="J62" s="16">
        <v>46335</v>
      </c>
      <c r="K62" s="16">
        <v>46346</v>
      </c>
      <c r="L62" s="13">
        <f t="shared" si="21"/>
        <v>12</v>
      </c>
      <c r="M62" s="17" t="s">
        <v>41</v>
      </c>
      <c r="N62" s="13" t="str">
        <f ca="1">IF(M62="Finalizado","",IF(K62&lt;Hoy!$C$4,"Vencida",IF(AND(J62&lt;=Hoy!$C$4,M62="No iniciado"),"Sin iniciar","")))</f>
        <v/>
      </c>
      <c r="O62" s="18"/>
      <c r="P62" s="19" t="str">
        <f t="shared" si="32"/>
        <v/>
      </c>
      <c r="Q62" s="19" t="str">
        <f t="shared" si="32"/>
        <v/>
      </c>
      <c r="R62" s="19" t="str">
        <f t="shared" si="32"/>
        <v/>
      </c>
      <c r="S62" s="19" t="str">
        <f t="shared" si="32"/>
        <v/>
      </c>
      <c r="T62" s="19" t="str">
        <f t="shared" si="32"/>
        <v/>
      </c>
      <c r="U62" s="19" t="str">
        <f t="shared" si="32"/>
        <v/>
      </c>
      <c r="V62" s="19" t="str">
        <f t="shared" si="32"/>
        <v/>
      </c>
      <c r="W62" s="19" t="str">
        <f t="shared" si="32"/>
        <v/>
      </c>
      <c r="X62" s="19" t="str">
        <f t="shared" si="32"/>
        <v/>
      </c>
      <c r="Y62" s="19" t="str">
        <f t="shared" si="32"/>
        <v/>
      </c>
      <c r="Z62" s="19" t="str">
        <f t="shared" si="33"/>
        <v/>
      </c>
      <c r="AA62" s="19" t="str">
        <f t="shared" si="33"/>
        <v/>
      </c>
      <c r="AB62" s="19" t="str">
        <f t="shared" si="33"/>
        <v/>
      </c>
      <c r="AC62" s="19" t="str">
        <f t="shared" si="33"/>
        <v/>
      </c>
      <c r="AD62" s="19" t="str">
        <f t="shared" si="33"/>
        <v/>
      </c>
      <c r="AE62" s="19" t="str">
        <f t="shared" si="33"/>
        <v/>
      </c>
      <c r="AF62" s="19" t="str">
        <f t="shared" si="33"/>
        <v/>
      </c>
      <c r="AG62" s="19" t="str">
        <f t="shared" si="33"/>
        <v/>
      </c>
      <c r="AH62" s="19" t="str">
        <f t="shared" si="33"/>
        <v/>
      </c>
      <c r="AI62" s="19" t="str">
        <f t="shared" si="33"/>
        <v/>
      </c>
      <c r="AJ62" s="19" t="str">
        <f t="shared" si="34"/>
        <v/>
      </c>
      <c r="AK62" s="19" t="str">
        <f t="shared" si="34"/>
        <v/>
      </c>
      <c r="AL62" s="19" t="str">
        <f t="shared" si="34"/>
        <v/>
      </c>
      <c r="AM62" s="19" t="str">
        <f t="shared" si="34"/>
        <v/>
      </c>
      <c r="AN62" s="19" t="str">
        <f t="shared" si="34"/>
        <v/>
      </c>
      <c r="AO62" s="19" t="str">
        <f t="shared" si="34"/>
        <v/>
      </c>
      <c r="AP62" s="19" t="str">
        <f t="shared" si="34"/>
        <v/>
      </c>
      <c r="AQ62" s="19" t="str">
        <f t="shared" si="34"/>
        <v/>
      </c>
      <c r="AR62" s="19" t="str">
        <f t="shared" si="34"/>
        <v/>
      </c>
      <c r="AS62" s="19" t="str">
        <f t="shared" si="34"/>
        <v/>
      </c>
      <c r="AT62" s="19" t="str">
        <f t="shared" si="34"/>
        <v/>
      </c>
      <c r="AU62" s="19" t="str">
        <f t="shared" si="34"/>
        <v/>
      </c>
      <c r="AW62">
        <v>1</v>
      </c>
      <c r="AX62">
        <f ca="1">IF(AND(J62&lt;=Hoy!$C$4,K62&gt;=Hoy!$C$4),1,0)</f>
        <v>0</v>
      </c>
      <c r="AY62" t="str">
        <f ca="1">IF(AX62=1,SUM($AX$6:AX62),"")</f>
        <v/>
      </c>
      <c r="AZ62">
        <f ca="1">IF(N62="Vencida",1,0)</f>
        <v>0</v>
      </c>
      <c r="BA62" t="str">
        <f ca="1">IF(AZ62=1,SUM($AZ$6:AZ62),"")</f>
        <v/>
      </c>
    </row>
    <row r="63" spans="1:53" ht="30" customHeight="1" outlineLevel="1" x14ac:dyDescent="0.3">
      <c r="A63" s="13" t="s">
        <v>264</v>
      </c>
      <c r="B63" s="14" t="s">
        <v>243</v>
      </c>
      <c r="C63" s="20" t="s">
        <v>265</v>
      </c>
      <c r="D63" s="13" t="s">
        <v>78</v>
      </c>
      <c r="E63" s="15" t="s">
        <v>266</v>
      </c>
      <c r="F63" s="14" t="s">
        <v>37</v>
      </c>
      <c r="G63" s="15" t="s">
        <v>214</v>
      </c>
      <c r="H63" s="15" t="s">
        <v>267</v>
      </c>
      <c r="I63" s="13" t="s">
        <v>67</v>
      </c>
      <c r="J63" s="16">
        <v>46346</v>
      </c>
      <c r="K63" s="16">
        <v>46346</v>
      </c>
      <c r="L63" s="13">
        <f t="shared" si="21"/>
        <v>1</v>
      </c>
      <c r="M63" s="17" t="s">
        <v>41</v>
      </c>
      <c r="N63" s="13" t="str">
        <f ca="1">IF(M63="Finalizado","",IF(K63&lt;Hoy!$C$4,"Vencida",IF(AND(J63&lt;=Hoy!$C$4,M63="No iniciado"),"Sin iniciar","")))</f>
        <v/>
      </c>
      <c r="O63" s="18"/>
      <c r="P63" s="19" t="str">
        <f t="shared" si="32"/>
        <v/>
      </c>
      <c r="Q63" s="19" t="str">
        <f t="shared" si="32"/>
        <v/>
      </c>
      <c r="R63" s="19" t="str">
        <f t="shared" si="32"/>
        <v/>
      </c>
      <c r="S63" s="19" t="str">
        <f t="shared" si="32"/>
        <v/>
      </c>
      <c r="T63" s="19" t="str">
        <f t="shared" si="32"/>
        <v/>
      </c>
      <c r="U63" s="19" t="str">
        <f t="shared" si="32"/>
        <v/>
      </c>
      <c r="V63" s="19" t="str">
        <f t="shared" si="32"/>
        <v/>
      </c>
      <c r="W63" s="19" t="str">
        <f t="shared" si="32"/>
        <v/>
      </c>
      <c r="X63" s="19" t="str">
        <f t="shared" si="32"/>
        <v/>
      </c>
      <c r="Y63" s="19" t="str">
        <f t="shared" si="32"/>
        <v/>
      </c>
      <c r="Z63" s="19" t="str">
        <f t="shared" si="33"/>
        <v/>
      </c>
      <c r="AA63" s="19" t="str">
        <f t="shared" si="33"/>
        <v/>
      </c>
      <c r="AB63" s="19" t="str">
        <f t="shared" si="33"/>
        <v/>
      </c>
      <c r="AC63" s="19" t="str">
        <f t="shared" si="33"/>
        <v/>
      </c>
      <c r="AD63" s="19" t="str">
        <f t="shared" si="33"/>
        <v/>
      </c>
      <c r="AE63" s="19" t="str">
        <f t="shared" si="33"/>
        <v/>
      </c>
      <c r="AF63" s="19" t="str">
        <f t="shared" si="33"/>
        <v/>
      </c>
      <c r="AG63" s="19" t="str">
        <f t="shared" si="33"/>
        <v/>
      </c>
      <c r="AH63" s="19" t="str">
        <f t="shared" si="33"/>
        <v/>
      </c>
      <c r="AI63" s="19" t="str">
        <f t="shared" si="33"/>
        <v/>
      </c>
      <c r="AJ63" s="19" t="str">
        <f t="shared" si="34"/>
        <v/>
      </c>
      <c r="AK63" s="19" t="str">
        <f t="shared" si="34"/>
        <v/>
      </c>
      <c r="AL63" s="19" t="str">
        <f t="shared" si="34"/>
        <v/>
      </c>
      <c r="AM63" s="19" t="str">
        <f t="shared" si="34"/>
        <v/>
      </c>
      <c r="AN63" s="19" t="str">
        <f t="shared" si="34"/>
        <v/>
      </c>
      <c r="AO63" s="19" t="str">
        <f t="shared" si="34"/>
        <v/>
      </c>
      <c r="AP63" s="19" t="str">
        <f t="shared" si="34"/>
        <v/>
      </c>
      <c r="AQ63" s="19" t="str">
        <f t="shared" si="34"/>
        <v/>
      </c>
      <c r="AR63" s="19" t="str">
        <f t="shared" si="34"/>
        <v/>
      </c>
      <c r="AS63" s="19" t="str">
        <f t="shared" si="34"/>
        <v/>
      </c>
      <c r="AT63" s="19" t="str">
        <f t="shared" si="34"/>
        <v/>
      </c>
      <c r="AU63" s="19" t="str">
        <f t="shared" si="34"/>
        <v>◆</v>
      </c>
      <c r="AW63">
        <v>1</v>
      </c>
      <c r="AX63">
        <f ca="1">IF(AND(J63&lt;=Hoy!$C$4,K63&gt;=Hoy!$C$4),1,0)</f>
        <v>0</v>
      </c>
      <c r="AY63" t="str">
        <f ca="1">IF(AX63=1,SUM($AX$6:AX63),"")</f>
        <v/>
      </c>
      <c r="AZ63">
        <f ca="1">IF(N63="Vencida",1,0)</f>
        <v>0</v>
      </c>
      <c r="BA63" t="str">
        <f ca="1">IF(AZ63=1,SUM($AZ$6:AZ63),"")</f>
        <v/>
      </c>
    </row>
    <row r="65" spans="2:3" x14ac:dyDescent="0.3">
      <c r="B65" s="21" t="s">
        <v>268</v>
      </c>
    </row>
    <row r="66" spans="2:3" x14ac:dyDescent="0.3">
      <c r="B66" s="22"/>
      <c r="C66" s="23" t="s">
        <v>41</v>
      </c>
    </row>
    <row r="67" spans="2:3" x14ac:dyDescent="0.3">
      <c r="B67" s="24"/>
      <c r="C67" s="23" t="s">
        <v>68</v>
      </c>
    </row>
    <row r="68" spans="2:3" x14ac:dyDescent="0.3">
      <c r="B68" s="25"/>
      <c r="C68" s="23" t="s">
        <v>269</v>
      </c>
    </row>
    <row r="69" spans="2:3" x14ac:dyDescent="0.3">
      <c r="B69" s="26"/>
      <c r="C69" s="23" t="s">
        <v>270</v>
      </c>
    </row>
    <row r="70" spans="2:3" x14ac:dyDescent="0.3">
      <c r="B70" s="27"/>
      <c r="C70" s="23" t="s">
        <v>271</v>
      </c>
    </row>
    <row r="71" spans="2:3" x14ac:dyDescent="0.3">
      <c r="B71" s="28" t="s">
        <v>272</v>
      </c>
      <c r="C71" s="23" t="s">
        <v>78</v>
      </c>
    </row>
    <row r="72" spans="2:3" x14ac:dyDescent="0.3">
      <c r="C72" s="29" t="s">
        <v>273</v>
      </c>
    </row>
  </sheetData>
  <autoFilter ref="A5:O63" xr:uid="{00000000-0009-0000-0000-000000000000}"/>
  <conditionalFormatting sqref="M6:M63">
    <cfRule type="cellIs" dxfId="31" priority="11" operator="equal">
      <formula>"Finalizado"</formula>
    </cfRule>
    <cfRule type="cellIs" dxfId="30" priority="12" operator="equal">
      <formula>"En curso"</formula>
    </cfRule>
    <cfRule type="cellIs" dxfId="29" priority="13" operator="equal">
      <formula>"Demorado"</formula>
    </cfRule>
    <cfRule type="cellIs" dxfId="28" priority="14" operator="equal">
      <formula>"No iniciado"</formula>
    </cfRule>
  </conditionalFormatting>
  <conditionalFormatting sqref="N6:N63">
    <cfRule type="cellIs" dxfId="27" priority="15" operator="equal">
      <formula>"Vencida"</formula>
    </cfRule>
    <cfRule type="cellIs" dxfId="26" priority="16" operator="equal">
      <formula>"Sin iniciar"</formula>
    </cfRule>
  </conditionalFormatting>
  <conditionalFormatting sqref="P6:AU63">
    <cfRule type="expression" dxfId="22" priority="2">
      <formula>AND($AW6=1,$D6&lt;&gt;"Hito",P$5&gt;=$J6,P$5&lt;=$K6,$M6="Finalizado")</formula>
    </cfRule>
    <cfRule type="expression" dxfId="21" priority="3">
      <formula>AND($AW6=1,$D6&lt;&gt;"Hito",P$5&gt;=$J6,P$5&lt;=$K6,$M6="En curso")</formula>
    </cfRule>
    <cfRule type="expression" dxfId="20" priority="4">
      <formula>AND($AW6=1,$D6&lt;&gt;"Hito",P$5&gt;=$J6,P$5&lt;=$K6,$M6="Demorado")</formula>
    </cfRule>
    <cfRule type="expression" dxfId="19" priority="5">
      <formula>AND($AW6=1,$D6&lt;&gt;"Hito",P$5&gt;=$J6,P$5&lt;=$K6,$M6="No iniciado")</formula>
    </cfRule>
    <cfRule type="expression" dxfId="18" priority="6">
      <formula>AND($D6="Fase",P$5&gt;=$J6,P$5&lt;=$K6)</formula>
    </cfRule>
  </conditionalFormatting>
  <dataValidations count="1">
    <dataValidation type="list" sqref="M7:M11 M17:M20 M22:M27 M29:M31 M33:M40 M42:M47 M49:M52 M54:M57 M59:M63 M13:M15" xr:uid="{00000000-0002-0000-0000-000000000000}">
      <formula1>"No iniciado,En curso,Demorado,Finalizado"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0-000E-0000-0000-000009000000}">
            <xm:f>P$5=Hoy!$C$4</xm:f>
            <x14:dxf>
              <fill>
                <patternFill>
                  <bgColor rgb="FFC00000"/>
                </patternFill>
              </fill>
            </x14:dxf>
          </x14:cfRule>
          <x14:cfRule type="expression" priority="10" id="{00000000-000E-0000-0000-00000A000000}">
            <xm:f>COUNTIF('Equipo y Calendario'!$B$33:$B$38,P$5)&gt;0</xm:f>
            <x14:dxf>
              <fill>
                <patternFill>
                  <bgColor rgb="FFC8791A"/>
                </patternFill>
              </fill>
            </x14:dxf>
          </x14:cfRule>
          <xm:sqref>P5:AU5</xm:sqref>
        </x14:conditionalFormatting>
        <x14:conditionalFormatting xmlns:xm="http://schemas.microsoft.com/office/excel/2006/main">
          <x14:cfRule type="expression" priority="8" id="{00000000-000E-0000-0000-000008000000}">
            <xm:f>P$5=Hoy!$C$4</xm:f>
            <x14:dxf>
              <border diagonalUp="0" diagonalDown="0">
                <left style="thin">
                  <color rgb="FFC00000"/>
                </left>
                <right style="thin">
                  <color rgb="FFC00000"/>
                </right>
                <top style="hair">
                  <color rgb="FFD9D9D9"/>
                </top>
                <bottom style="hair">
                  <color rgb="FFD9D9D9"/>
                </bottom>
              </border>
            </x14:dxf>
          </x14:cfRule>
          <xm:sqref>P5:AU63</xm:sqref>
        </x14:conditionalFormatting>
        <x14:conditionalFormatting xmlns:xm="http://schemas.microsoft.com/office/excel/2006/main">
          <x14:cfRule type="expression" priority="7" id="{00000000-000E-0000-0000-000007000000}">
            <xm:f>OR(WEEKDAY(P$5,2)&gt;5,COUNTIF('Equipo y Calendario'!$B$33:$B$38,P$5)&gt;0)</xm:f>
            <x14:dxf>
              <fill>
                <patternFill>
                  <bgColor rgb="FFF2F2F2"/>
                </patternFill>
              </fill>
            </x14:dxf>
          </x14:cfRule>
          <xm:sqref>P6:AU63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C8A"/>
  </sheetPr>
  <dimension ref="A1:L43"/>
  <sheetViews>
    <sheetView showGridLines="0" zoomScaleNormal="100" workbookViewId="0"/>
  </sheetViews>
  <sheetFormatPr baseColWidth="10" defaultColWidth="8.6640625" defaultRowHeight="14.4" x14ac:dyDescent="0.3"/>
  <cols>
    <col min="1" max="1" width="2" customWidth="1"/>
    <col min="2" max="2" width="34" customWidth="1"/>
    <col min="3" max="10" width="15" customWidth="1"/>
    <col min="11" max="11" width="12" customWidth="1"/>
    <col min="12" max="12" width="18" customWidth="1"/>
  </cols>
  <sheetData>
    <row r="1" spans="1:12" ht="21" x14ac:dyDescent="0.4">
      <c r="A1" s="1" t="s">
        <v>274</v>
      </c>
    </row>
    <row r="2" spans="1:12" x14ac:dyDescent="0.3">
      <c r="A2" s="2" t="s">
        <v>275</v>
      </c>
    </row>
    <row r="3" spans="1:12" x14ac:dyDescent="0.3">
      <c r="B3" s="21" t="str">
        <f ca="1">"Fecha de consulta: "&amp;TEXT(Hoy!$C$4,"dd-mm-yyyy")&amp;"   ·   Go-Live: "&amp;TEXT('Equipo y Calendario'!$B$28,"dd-mm-yyyy")</f>
        <v>Fecha de consulta: 28-10-2026   ·   Go-Live: 09-11-2026</v>
      </c>
    </row>
    <row r="5" spans="1:12" x14ac:dyDescent="0.3">
      <c r="B5" s="6" t="s">
        <v>276</v>
      </c>
      <c r="C5" s="6" t="s">
        <v>277</v>
      </c>
      <c r="D5" s="6" t="s">
        <v>68</v>
      </c>
      <c r="E5" s="6" t="s">
        <v>278</v>
      </c>
      <c r="F5" s="6" t="s">
        <v>279</v>
      </c>
      <c r="G5" s="6" t="s">
        <v>280</v>
      </c>
      <c r="H5" s="6" t="s">
        <v>281</v>
      </c>
      <c r="I5" s="6" t="s">
        <v>282</v>
      </c>
    </row>
    <row r="6" spans="1:12" ht="30" customHeight="1" x14ac:dyDescent="0.4">
      <c r="B6" s="30">
        <f>COUNTIFS('Gantt Cutover'!$D$6:$D$63,"&lt;&gt;Fase")</f>
        <v>48</v>
      </c>
      <c r="C6" s="30">
        <f>COUNTIFS('Gantt Cutover'!$D$6:$D$63,"&lt;&gt;Fase",'Gantt Cutover'!$M$6:$M$63,"Finalizado")</f>
        <v>0</v>
      </c>
      <c r="D6" s="30">
        <f>COUNTIFS('Gantt Cutover'!$D$6:$D$63,"&lt;&gt;Fase",'Gantt Cutover'!$M$6:$M$63,"En curso")</f>
        <v>7</v>
      </c>
      <c r="E6" s="30">
        <f>COUNTIFS('Gantt Cutover'!$D$6:$D$63,"&lt;&gt;Fase",'Gantt Cutover'!$M$6:$M$63,"Demorado")</f>
        <v>0</v>
      </c>
      <c r="F6" s="30">
        <f>COUNTIFS('Gantt Cutover'!$D$6:$D$63,"&lt;&gt;Fase",'Gantt Cutover'!$M$6:$M$63,"No iniciado")</f>
        <v>41</v>
      </c>
      <c r="G6" s="30">
        <f ca="1">COUNTIF('Gantt Cutover'!$N$6:$N$63,"Vencida")</f>
        <v>0</v>
      </c>
      <c r="H6" s="31">
        <f>IFERROR(C6/B6,0)</f>
        <v>0</v>
      </c>
      <c r="I6" s="30">
        <f ca="1">'Equipo y Calendario'!$B$28-Hoy!$C$4</f>
        <v>12</v>
      </c>
    </row>
    <row r="8" spans="1:12" ht="15.6" x14ac:dyDescent="0.3">
      <c r="B8" s="32" t="s">
        <v>283</v>
      </c>
    </row>
    <row r="9" spans="1:12" x14ac:dyDescent="0.3">
      <c r="B9" s="6" t="s">
        <v>11</v>
      </c>
      <c r="C9" s="6" t="s">
        <v>19</v>
      </c>
      <c r="D9" s="6" t="s">
        <v>20</v>
      </c>
      <c r="E9" s="6" t="s">
        <v>284</v>
      </c>
      <c r="F9" s="6" t="s">
        <v>41</v>
      </c>
      <c r="G9" s="6" t="s">
        <v>68</v>
      </c>
      <c r="H9" s="6" t="s">
        <v>269</v>
      </c>
      <c r="I9" s="6" t="s">
        <v>270</v>
      </c>
      <c r="J9" s="6" t="s">
        <v>281</v>
      </c>
      <c r="K9" s="6" t="s">
        <v>280</v>
      </c>
      <c r="L9" s="6" t="s">
        <v>285</v>
      </c>
    </row>
    <row r="10" spans="1:12" x14ac:dyDescent="0.3">
      <c r="B10" s="33" t="s">
        <v>31</v>
      </c>
      <c r="C10" s="34">
        <f>'Gantt Cutover'!J6</f>
        <v>46328</v>
      </c>
      <c r="D10" s="34">
        <f>'Gantt Cutover'!K6</f>
        <v>46346</v>
      </c>
      <c r="E10" s="35">
        <f>COUNTIFS('Gantt Cutover'!$B$6:$B$63,$B10,'Gantt Cutover'!$D$6:$D$63,"&lt;&gt;Fase")</f>
        <v>5</v>
      </c>
      <c r="F10" s="35">
        <f>COUNTIFS('Gantt Cutover'!$B$6:$B$63,$B10,'Gantt Cutover'!$D$6:$D$63,"&lt;&gt;Fase",'Gantt Cutover'!$M$6:$M$63,"No iniciado")</f>
        <v>5</v>
      </c>
      <c r="G10" s="35">
        <f>COUNTIFS('Gantt Cutover'!$B$6:$B$63,$B10,'Gantt Cutover'!$D$6:$D$63,"&lt;&gt;Fase",'Gantt Cutover'!$M$6:$M$63,"En curso")</f>
        <v>0</v>
      </c>
      <c r="H10" s="35">
        <f>COUNTIFS('Gantt Cutover'!$B$6:$B$63,$B10,'Gantt Cutover'!$D$6:$D$63,"&lt;&gt;Fase",'Gantt Cutover'!$M$6:$M$63,"Demorado")</f>
        <v>0</v>
      </c>
      <c r="I10" s="35">
        <f>COUNTIFS('Gantt Cutover'!$B$6:$B$63,$B10,'Gantt Cutover'!$D$6:$D$63,"&lt;&gt;Fase",'Gantt Cutover'!$M$6:$M$63,"Finalizado")</f>
        <v>0</v>
      </c>
      <c r="J10" s="36">
        <f t="shared" ref="J10:J19" si="0">IFERROR(I10/E10,0)</f>
        <v>0</v>
      </c>
      <c r="K10" s="35">
        <f ca="1">COUNTIFS('Gantt Cutover'!$B$6:$B$63,$B10,'Gantt Cutover'!$N$6:$N$63,"Vencida")</f>
        <v>0</v>
      </c>
      <c r="L10" s="35" t="str">
        <f ca="1">'Gantt Cutover'!M6</f>
        <v>No iniciado</v>
      </c>
    </row>
    <row r="11" spans="1:12" x14ac:dyDescent="0.3">
      <c r="B11" s="33" t="s">
        <v>59</v>
      </c>
      <c r="C11" s="34">
        <f>'Gantt Cutover'!J12</f>
        <v>46321</v>
      </c>
      <c r="D11" s="34">
        <f>'Gantt Cutover'!K12</f>
        <v>46325</v>
      </c>
      <c r="E11" s="35">
        <f>COUNTIFS('Gantt Cutover'!$B$6:$B$63,$B11,'Gantt Cutover'!$D$6:$D$63,"&lt;&gt;Fase")</f>
        <v>3</v>
      </c>
      <c r="F11" s="35">
        <f>COUNTIFS('Gantt Cutover'!$B$6:$B$63,$B11,'Gantt Cutover'!$D$6:$D$63,"&lt;&gt;Fase",'Gantt Cutover'!$M$6:$M$63,"No iniciado")</f>
        <v>1</v>
      </c>
      <c r="G11" s="35">
        <f>COUNTIFS('Gantt Cutover'!$B$6:$B$63,$B11,'Gantt Cutover'!$D$6:$D$63,"&lt;&gt;Fase",'Gantt Cutover'!$M$6:$M$63,"En curso")</f>
        <v>2</v>
      </c>
      <c r="H11" s="35">
        <f>COUNTIFS('Gantt Cutover'!$B$6:$B$63,$B11,'Gantt Cutover'!$D$6:$D$63,"&lt;&gt;Fase",'Gantt Cutover'!$M$6:$M$63,"Demorado")</f>
        <v>0</v>
      </c>
      <c r="I11" s="35">
        <f>COUNTIFS('Gantt Cutover'!$B$6:$B$63,$B11,'Gantt Cutover'!$D$6:$D$63,"&lt;&gt;Fase",'Gantt Cutover'!$M$6:$M$63,"Finalizado")</f>
        <v>0</v>
      </c>
      <c r="J11" s="36">
        <f t="shared" si="0"/>
        <v>0</v>
      </c>
      <c r="K11" s="35">
        <f ca="1">COUNTIFS('Gantt Cutover'!$B$6:$B$63,$B11,'Gantt Cutover'!$N$6:$N$63,"Vencida")</f>
        <v>0</v>
      </c>
      <c r="L11" s="35" t="str">
        <f ca="1">'Gantt Cutover'!M12</f>
        <v>En curso</v>
      </c>
    </row>
    <row r="12" spans="1:12" x14ac:dyDescent="0.3">
      <c r="B12" s="33" t="s">
        <v>82</v>
      </c>
      <c r="C12" s="34">
        <f>'Gantt Cutover'!J16</f>
        <v>46324</v>
      </c>
      <c r="D12" s="34">
        <f>'Gantt Cutover'!K16</f>
        <v>46328</v>
      </c>
      <c r="E12" s="35">
        <f>COUNTIFS('Gantt Cutover'!$B$6:$B$63,$B12,'Gantt Cutover'!$D$6:$D$63,"&lt;&gt;Fase")</f>
        <v>4</v>
      </c>
      <c r="F12" s="35">
        <f>COUNTIFS('Gantt Cutover'!$B$6:$B$63,$B12,'Gantt Cutover'!$D$6:$D$63,"&lt;&gt;Fase",'Gantt Cutover'!$M$6:$M$63,"No iniciado")</f>
        <v>2</v>
      </c>
      <c r="G12" s="35">
        <f>COUNTIFS('Gantt Cutover'!$B$6:$B$63,$B12,'Gantt Cutover'!$D$6:$D$63,"&lt;&gt;Fase",'Gantt Cutover'!$M$6:$M$63,"En curso")</f>
        <v>2</v>
      </c>
      <c r="H12" s="35">
        <f>COUNTIFS('Gantt Cutover'!$B$6:$B$63,$B12,'Gantt Cutover'!$D$6:$D$63,"&lt;&gt;Fase",'Gantt Cutover'!$M$6:$M$63,"Demorado")</f>
        <v>0</v>
      </c>
      <c r="I12" s="35">
        <f>COUNTIFS('Gantt Cutover'!$B$6:$B$63,$B12,'Gantt Cutover'!$D$6:$D$63,"&lt;&gt;Fase",'Gantt Cutover'!$M$6:$M$63,"Finalizado")</f>
        <v>0</v>
      </c>
      <c r="J12" s="36">
        <f t="shared" si="0"/>
        <v>0</v>
      </c>
      <c r="K12" s="35">
        <f ca="1">COUNTIFS('Gantt Cutover'!$B$6:$B$63,$B12,'Gantt Cutover'!$N$6:$N$63,"Vencida")</f>
        <v>0</v>
      </c>
      <c r="L12" s="35" t="str">
        <f ca="1">'Gantt Cutover'!M16</f>
        <v>En curso</v>
      </c>
    </row>
    <row r="13" spans="1:12" x14ac:dyDescent="0.3">
      <c r="B13" s="33" t="s">
        <v>103</v>
      </c>
      <c r="C13" s="34">
        <f>'Gantt Cutover'!J21</f>
        <v>46321</v>
      </c>
      <c r="D13" s="34">
        <f>'Gantt Cutover'!K21</f>
        <v>46330</v>
      </c>
      <c r="E13" s="35">
        <f>COUNTIFS('Gantt Cutover'!$B$6:$B$63,$B13,'Gantt Cutover'!$D$6:$D$63,"&lt;&gt;Fase")</f>
        <v>6</v>
      </c>
      <c r="F13" s="35">
        <f>COUNTIFS('Gantt Cutover'!$B$6:$B$63,$B13,'Gantt Cutover'!$D$6:$D$63,"&lt;&gt;Fase",'Gantt Cutover'!$M$6:$M$63,"No iniciado")</f>
        <v>4</v>
      </c>
      <c r="G13" s="35">
        <f>COUNTIFS('Gantt Cutover'!$B$6:$B$63,$B13,'Gantt Cutover'!$D$6:$D$63,"&lt;&gt;Fase",'Gantt Cutover'!$M$6:$M$63,"En curso")</f>
        <v>2</v>
      </c>
      <c r="H13" s="35">
        <f>COUNTIFS('Gantt Cutover'!$B$6:$B$63,$B13,'Gantt Cutover'!$D$6:$D$63,"&lt;&gt;Fase",'Gantt Cutover'!$M$6:$M$63,"Demorado")</f>
        <v>0</v>
      </c>
      <c r="I13" s="35">
        <f>COUNTIFS('Gantt Cutover'!$B$6:$B$63,$B13,'Gantt Cutover'!$D$6:$D$63,"&lt;&gt;Fase",'Gantt Cutover'!$M$6:$M$63,"Finalizado")</f>
        <v>0</v>
      </c>
      <c r="J13" s="36">
        <f t="shared" si="0"/>
        <v>0</v>
      </c>
      <c r="K13" s="35">
        <f ca="1">COUNTIFS('Gantt Cutover'!$B$6:$B$63,$B13,'Gantt Cutover'!$N$6:$N$63,"Vencida")</f>
        <v>0</v>
      </c>
      <c r="L13" s="35" t="str">
        <f ca="1">'Gantt Cutover'!M21</f>
        <v>En curso</v>
      </c>
    </row>
    <row r="14" spans="1:12" x14ac:dyDescent="0.3">
      <c r="B14" s="33" t="s">
        <v>133</v>
      </c>
      <c r="C14" s="34">
        <f>'Gantt Cutover'!J28</f>
        <v>46329</v>
      </c>
      <c r="D14" s="34">
        <f>'Gantt Cutover'!K28</f>
        <v>46332</v>
      </c>
      <c r="E14" s="35">
        <f>COUNTIFS('Gantt Cutover'!$B$6:$B$63,$B14,'Gantt Cutover'!$D$6:$D$63,"&lt;&gt;Fase")</f>
        <v>3</v>
      </c>
      <c r="F14" s="35">
        <f>COUNTIFS('Gantt Cutover'!$B$6:$B$63,$B14,'Gantt Cutover'!$D$6:$D$63,"&lt;&gt;Fase",'Gantt Cutover'!$M$6:$M$63,"No iniciado")</f>
        <v>3</v>
      </c>
      <c r="G14" s="35">
        <f>COUNTIFS('Gantt Cutover'!$B$6:$B$63,$B14,'Gantt Cutover'!$D$6:$D$63,"&lt;&gt;Fase",'Gantt Cutover'!$M$6:$M$63,"En curso")</f>
        <v>0</v>
      </c>
      <c r="H14" s="35">
        <f>COUNTIFS('Gantt Cutover'!$B$6:$B$63,$B14,'Gantt Cutover'!$D$6:$D$63,"&lt;&gt;Fase",'Gantt Cutover'!$M$6:$M$63,"Demorado")</f>
        <v>0</v>
      </c>
      <c r="I14" s="35">
        <f>COUNTIFS('Gantt Cutover'!$B$6:$B$63,$B14,'Gantt Cutover'!$D$6:$D$63,"&lt;&gt;Fase",'Gantt Cutover'!$M$6:$M$63,"Finalizado")</f>
        <v>0</v>
      </c>
      <c r="J14" s="36">
        <f t="shared" si="0"/>
        <v>0</v>
      </c>
      <c r="K14" s="35">
        <f ca="1">COUNTIFS('Gantt Cutover'!$B$6:$B$63,$B14,'Gantt Cutover'!$N$6:$N$63,"Vencida")</f>
        <v>0</v>
      </c>
      <c r="L14" s="35" t="str">
        <f ca="1">'Gantt Cutover'!M28</f>
        <v>No iniciado</v>
      </c>
    </row>
    <row r="15" spans="1:12" x14ac:dyDescent="0.3">
      <c r="B15" s="33" t="s">
        <v>148</v>
      </c>
      <c r="C15" s="34">
        <f>'Gantt Cutover'!J32</f>
        <v>46321</v>
      </c>
      <c r="D15" s="34">
        <f>'Gantt Cutover'!K32</f>
        <v>46330</v>
      </c>
      <c r="E15" s="35">
        <f>COUNTIFS('Gantt Cutover'!$B$6:$B$63,$B15,'Gantt Cutover'!$D$6:$D$63,"&lt;&gt;Fase")</f>
        <v>8</v>
      </c>
      <c r="F15" s="35">
        <f>COUNTIFS('Gantt Cutover'!$B$6:$B$63,$B15,'Gantt Cutover'!$D$6:$D$63,"&lt;&gt;Fase",'Gantt Cutover'!$M$6:$M$63,"No iniciado")</f>
        <v>7</v>
      </c>
      <c r="G15" s="35">
        <f>COUNTIFS('Gantt Cutover'!$B$6:$B$63,$B15,'Gantt Cutover'!$D$6:$D$63,"&lt;&gt;Fase",'Gantt Cutover'!$M$6:$M$63,"En curso")</f>
        <v>1</v>
      </c>
      <c r="H15" s="35">
        <f>COUNTIFS('Gantt Cutover'!$B$6:$B$63,$B15,'Gantt Cutover'!$D$6:$D$63,"&lt;&gt;Fase",'Gantt Cutover'!$M$6:$M$63,"Demorado")</f>
        <v>0</v>
      </c>
      <c r="I15" s="35">
        <f>COUNTIFS('Gantt Cutover'!$B$6:$B$63,$B15,'Gantt Cutover'!$D$6:$D$63,"&lt;&gt;Fase",'Gantt Cutover'!$M$6:$M$63,"Finalizado")</f>
        <v>0</v>
      </c>
      <c r="J15" s="36">
        <f t="shared" si="0"/>
        <v>0</v>
      </c>
      <c r="K15" s="35">
        <f ca="1">COUNTIFS('Gantt Cutover'!$B$6:$B$63,$B15,'Gantt Cutover'!$N$6:$N$63,"Vencida")</f>
        <v>0</v>
      </c>
      <c r="L15" s="35" t="str">
        <f ca="1">'Gantt Cutover'!M32</f>
        <v>En curso</v>
      </c>
    </row>
    <row r="16" spans="1:12" x14ac:dyDescent="0.3">
      <c r="B16" s="33" t="s">
        <v>179</v>
      </c>
      <c r="C16" s="34">
        <f>'Gantt Cutover'!J41</f>
        <v>46330</v>
      </c>
      <c r="D16" s="34">
        <f>'Gantt Cutover'!K41</f>
        <v>46332</v>
      </c>
      <c r="E16" s="35">
        <f>COUNTIFS('Gantt Cutover'!$B$6:$B$63,$B16,'Gantt Cutover'!$D$6:$D$63,"&lt;&gt;Fase")</f>
        <v>6</v>
      </c>
      <c r="F16" s="35">
        <f>COUNTIFS('Gantt Cutover'!$B$6:$B$63,$B16,'Gantt Cutover'!$D$6:$D$63,"&lt;&gt;Fase",'Gantt Cutover'!$M$6:$M$63,"No iniciado")</f>
        <v>6</v>
      </c>
      <c r="G16" s="35">
        <f>COUNTIFS('Gantt Cutover'!$B$6:$B$63,$B16,'Gantt Cutover'!$D$6:$D$63,"&lt;&gt;Fase",'Gantt Cutover'!$M$6:$M$63,"En curso")</f>
        <v>0</v>
      </c>
      <c r="H16" s="35">
        <f>COUNTIFS('Gantt Cutover'!$B$6:$B$63,$B16,'Gantt Cutover'!$D$6:$D$63,"&lt;&gt;Fase",'Gantt Cutover'!$M$6:$M$63,"Demorado")</f>
        <v>0</v>
      </c>
      <c r="I16" s="35">
        <f>COUNTIFS('Gantt Cutover'!$B$6:$B$63,$B16,'Gantt Cutover'!$D$6:$D$63,"&lt;&gt;Fase",'Gantt Cutover'!$M$6:$M$63,"Finalizado")</f>
        <v>0</v>
      </c>
      <c r="J16" s="36">
        <f t="shared" si="0"/>
        <v>0</v>
      </c>
      <c r="K16" s="35">
        <f ca="1">COUNTIFS('Gantt Cutover'!$B$6:$B$63,$B16,'Gantt Cutover'!$N$6:$N$63,"Vencida")</f>
        <v>0</v>
      </c>
      <c r="L16" s="35" t="str">
        <f ca="1">'Gantt Cutover'!M41</f>
        <v>No iniciado</v>
      </c>
    </row>
    <row r="17" spans="2:12" x14ac:dyDescent="0.3">
      <c r="B17" s="33" t="s">
        <v>205</v>
      </c>
      <c r="C17" s="34">
        <f>'Gantt Cutover'!J48</f>
        <v>46333</v>
      </c>
      <c r="D17" s="34">
        <f>'Gantt Cutover'!K48</f>
        <v>46335</v>
      </c>
      <c r="E17" s="35">
        <f>COUNTIFS('Gantt Cutover'!$B$6:$B$63,$B17,'Gantt Cutover'!$D$6:$D$63,"&lt;&gt;Fase")</f>
        <v>4</v>
      </c>
      <c r="F17" s="35">
        <f>COUNTIFS('Gantt Cutover'!$B$6:$B$63,$B17,'Gantt Cutover'!$D$6:$D$63,"&lt;&gt;Fase",'Gantt Cutover'!$M$6:$M$63,"No iniciado")</f>
        <v>4</v>
      </c>
      <c r="G17" s="35">
        <f>COUNTIFS('Gantt Cutover'!$B$6:$B$63,$B17,'Gantt Cutover'!$D$6:$D$63,"&lt;&gt;Fase",'Gantt Cutover'!$M$6:$M$63,"En curso")</f>
        <v>0</v>
      </c>
      <c r="H17" s="35">
        <f>COUNTIFS('Gantt Cutover'!$B$6:$B$63,$B17,'Gantt Cutover'!$D$6:$D$63,"&lt;&gt;Fase",'Gantt Cutover'!$M$6:$M$63,"Demorado")</f>
        <v>0</v>
      </c>
      <c r="I17" s="35">
        <f>COUNTIFS('Gantt Cutover'!$B$6:$B$63,$B17,'Gantt Cutover'!$D$6:$D$63,"&lt;&gt;Fase",'Gantt Cutover'!$M$6:$M$63,"Finalizado")</f>
        <v>0</v>
      </c>
      <c r="J17" s="36">
        <f t="shared" si="0"/>
        <v>0</v>
      </c>
      <c r="K17" s="35">
        <f ca="1">COUNTIFS('Gantt Cutover'!$B$6:$B$63,$B17,'Gantt Cutover'!$N$6:$N$63,"Vencida")</f>
        <v>0</v>
      </c>
      <c r="L17" s="35" t="str">
        <f ca="1">'Gantt Cutover'!M48</f>
        <v>No iniciado</v>
      </c>
    </row>
    <row r="18" spans="2:12" x14ac:dyDescent="0.3">
      <c r="B18" s="33" t="s">
        <v>224</v>
      </c>
      <c r="C18" s="34">
        <f>'Gantt Cutover'!J53</f>
        <v>46335</v>
      </c>
      <c r="D18" s="34">
        <f>'Gantt Cutover'!K53</f>
        <v>46338</v>
      </c>
      <c r="E18" s="35">
        <f>COUNTIFS('Gantt Cutover'!$B$6:$B$63,$B18,'Gantt Cutover'!$D$6:$D$63,"&lt;&gt;Fase")</f>
        <v>4</v>
      </c>
      <c r="F18" s="35">
        <f>COUNTIFS('Gantt Cutover'!$B$6:$B$63,$B18,'Gantt Cutover'!$D$6:$D$63,"&lt;&gt;Fase",'Gantt Cutover'!$M$6:$M$63,"No iniciado")</f>
        <v>4</v>
      </c>
      <c r="G18" s="35">
        <f>COUNTIFS('Gantt Cutover'!$B$6:$B$63,$B18,'Gantt Cutover'!$D$6:$D$63,"&lt;&gt;Fase",'Gantt Cutover'!$M$6:$M$63,"En curso")</f>
        <v>0</v>
      </c>
      <c r="H18" s="35">
        <f>COUNTIFS('Gantt Cutover'!$B$6:$B$63,$B18,'Gantt Cutover'!$D$6:$D$63,"&lt;&gt;Fase",'Gantt Cutover'!$M$6:$M$63,"Demorado")</f>
        <v>0</v>
      </c>
      <c r="I18" s="35">
        <f>COUNTIFS('Gantt Cutover'!$B$6:$B$63,$B18,'Gantt Cutover'!$D$6:$D$63,"&lt;&gt;Fase",'Gantt Cutover'!$M$6:$M$63,"Finalizado")</f>
        <v>0</v>
      </c>
      <c r="J18" s="36">
        <f t="shared" si="0"/>
        <v>0</v>
      </c>
      <c r="K18" s="35">
        <f ca="1">COUNTIFS('Gantt Cutover'!$B$6:$B$63,$B18,'Gantt Cutover'!$N$6:$N$63,"Vencida")</f>
        <v>0</v>
      </c>
      <c r="L18" s="35" t="str">
        <f ca="1">'Gantt Cutover'!M53</f>
        <v>No iniciado</v>
      </c>
    </row>
    <row r="19" spans="2:12" x14ac:dyDescent="0.3">
      <c r="B19" s="33" t="s">
        <v>243</v>
      </c>
      <c r="C19" s="34">
        <f>'Gantt Cutover'!J58</f>
        <v>46335</v>
      </c>
      <c r="D19" s="34">
        <f>'Gantt Cutover'!K58</f>
        <v>46346</v>
      </c>
      <c r="E19" s="35">
        <f>COUNTIFS('Gantt Cutover'!$B$6:$B$63,$B19,'Gantt Cutover'!$D$6:$D$63,"&lt;&gt;Fase")</f>
        <v>5</v>
      </c>
      <c r="F19" s="35">
        <f>COUNTIFS('Gantt Cutover'!$B$6:$B$63,$B19,'Gantt Cutover'!$D$6:$D$63,"&lt;&gt;Fase",'Gantt Cutover'!$M$6:$M$63,"No iniciado")</f>
        <v>5</v>
      </c>
      <c r="G19" s="35">
        <f>COUNTIFS('Gantt Cutover'!$B$6:$B$63,$B19,'Gantt Cutover'!$D$6:$D$63,"&lt;&gt;Fase",'Gantt Cutover'!$M$6:$M$63,"En curso")</f>
        <v>0</v>
      </c>
      <c r="H19" s="35">
        <f>COUNTIFS('Gantt Cutover'!$B$6:$B$63,$B19,'Gantt Cutover'!$D$6:$D$63,"&lt;&gt;Fase",'Gantt Cutover'!$M$6:$M$63,"Demorado")</f>
        <v>0</v>
      </c>
      <c r="I19" s="35">
        <f>COUNTIFS('Gantt Cutover'!$B$6:$B$63,$B19,'Gantt Cutover'!$D$6:$D$63,"&lt;&gt;Fase",'Gantt Cutover'!$M$6:$M$63,"Finalizado")</f>
        <v>0</v>
      </c>
      <c r="J19" s="36">
        <f t="shared" si="0"/>
        <v>0</v>
      </c>
      <c r="K19" s="35">
        <f ca="1">COUNTIFS('Gantt Cutover'!$B$6:$B$63,$B19,'Gantt Cutover'!$N$6:$N$63,"Vencida")</f>
        <v>0</v>
      </c>
      <c r="L19" s="35" t="str">
        <f ca="1">'Gantt Cutover'!M58</f>
        <v>No iniciado</v>
      </c>
    </row>
    <row r="21" spans="2:12" ht="15.6" x14ac:dyDescent="0.3">
      <c r="B21" s="32" t="s">
        <v>286</v>
      </c>
    </row>
    <row r="22" spans="2:12" x14ac:dyDescent="0.3">
      <c r="B22" s="6" t="s">
        <v>78</v>
      </c>
      <c r="C22" s="6" t="s">
        <v>287</v>
      </c>
      <c r="D22" s="6" t="s">
        <v>16</v>
      </c>
      <c r="E22" s="6" t="s">
        <v>22</v>
      </c>
      <c r="F22" s="6" t="s">
        <v>288</v>
      </c>
    </row>
    <row r="23" spans="2:12" ht="27" x14ac:dyDescent="0.3">
      <c r="B23" s="37" t="str">
        <f>'Gantt Cutover'!C15</f>
        <v>Validación de Modelos de Negocio y Facturación Electrónica</v>
      </c>
      <c r="C23" s="38">
        <f>'Gantt Cutover'!J15</f>
        <v>46325</v>
      </c>
      <c r="D23" s="39" t="str">
        <f>'Gantt Cutover'!G15</f>
        <v>Jefe de Implementación</v>
      </c>
      <c r="E23" s="40" t="str">
        <f>'Gantt Cutover'!M15</f>
        <v>No iniciado</v>
      </c>
      <c r="F23" s="40">
        <f ca="1">C23-Hoy!$C$4</f>
        <v>2</v>
      </c>
    </row>
    <row r="24" spans="2:12" ht="40.200000000000003" x14ac:dyDescent="0.3">
      <c r="B24" s="37" t="str">
        <f>'Gantt Cutover'!C18</f>
        <v>Cierre de planillas de datos maestros del negocio</v>
      </c>
      <c r="C24" s="38">
        <f>'Gantt Cutover'!J18</f>
        <v>46325</v>
      </c>
      <c r="D24" s="39" t="str">
        <f>'Gantt Cutover'!G18</f>
        <v>Gerente de Contabilidad Regional</v>
      </c>
      <c r="E24" s="40" t="str">
        <f>'Gantt Cutover'!M18</f>
        <v>En curso</v>
      </c>
      <c r="F24" s="40">
        <f ca="1">C24-Hoy!$C$4</f>
        <v>2</v>
      </c>
    </row>
    <row r="25" spans="2:12" ht="40.200000000000003" x14ac:dyDescent="0.3">
      <c r="B25" s="37" t="str">
        <f>'Gantt Cutover'!C20</f>
        <v>Planillas de carga aprobadas</v>
      </c>
      <c r="C25" s="38">
        <f>'Gantt Cutover'!J20</f>
        <v>46328</v>
      </c>
      <c r="D25" s="39" t="str">
        <f>'Gantt Cutover'!G20</f>
        <v>Gerente de Contabilidad Regional</v>
      </c>
      <c r="E25" s="40" t="str">
        <f>'Gantt Cutover'!M20</f>
        <v>No iniciado</v>
      </c>
      <c r="F25" s="40">
        <f ca="1">C25-Hoy!$C$4</f>
        <v>5</v>
      </c>
    </row>
    <row r="26" spans="2:12" ht="27" x14ac:dyDescent="0.3">
      <c r="B26" s="37" t="str">
        <f>'Gantt Cutover'!C23</f>
        <v>Cierre de registros del sistema actual</v>
      </c>
      <c r="C26" s="38">
        <f>'Gantt Cutover'!J23</f>
        <v>46323</v>
      </c>
      <c r="D26" s="39" t="str">
        <f>'Gantt Cutover'!G23</f>
        <v>Contabilidad Colombia</v>
      </c>
      <c r="E26" s="40" t="str">
        <f>'Gantt Cutover'!M23</f>
        <v>En curso</v>
      </c>
      <c r="F26" s="40">
        <f ca="1">C26-Hoy!$C$4</f>
        <v>0</v>
      </c>
    </row>
    <row r="27" spans="2:12" ht="40.200000000000003" x14ac:dyDescent="0.3">
      <c r="B27" s="37" t="str">
        <f>'Gantt Cutover'!C27</f>
        <v>Cierre contable con saldos cuadrados</v>
      </c>
      <c r="C27" s="38">
        <f>'Gantt Cutover'!J27</f>
        <v>46330</v>
      </c>
      <c r="D27" s="39" t="str">
        <f>'Gantt Cutover'!G27</f>
        <v>Gerente de Contabilidad Regional</v>
      </c>
      <c r="E27" s="40" t="str">
        <f>'Gantt Cutover'!M27</f>
        <v>No iniciado</v>
      </c>
      <c r="F27" s="40">
        <f ca="1">C27-Hoy!$C$4</f>
        <v>7</v>
      </c>
    </row>
    <row r="28" spans="2:12" ht="40.200000000000003" x14ac:dyDescent="0.3">
      <c r="B28" s="37" t="str">
        <f>'Gantt Cutover'!C40</f>
        <v>Datos maestros cargados y validados</v>
      </c>
      <c r="C28" s="38">
        <f>'Gantt Cutover'!J40</f>
        <v>46330</v>
      </c>
      <c r="D28" s="39" t="str">
        <f>'Gantt Cutover'!G40</f>
        <v>Gerente de Contabilidad Regional</v>
      </c>
      <c r="E28" s="40" t="str">
        <f>'Gantt Cutover'!M40</f>
        <v>No iniciado</v>
      </c>
      <c r="F28" s="40">
        <f ca="1">C28-Hoy!$C$4</f>
        <v>7</v>
      </c>
    </row>
    <row r="29" spans="2:12" ht="40.200000000000003" x14ac:dyDescent="0.3">
      <c r="B29" s="37" t="str">
        <f>'Gantt Cutover'!C47</f>
        <v>Saldos iniciales cargados</v>
      </c>
      <c r="C29" s="38">
        <f>'Gantt Cutover'!J47</f>
        <v>46332</v>
      </c>
      <c r="D29" s="39" t="str">
        <f>'Gantt Cutover'!G47</f>
        <v>Gerente de Contabilidad Regional</v>
      </c>
      <c r="E29" s="40" t="str">
        <f>'Gantt Cutover'!M47</f>
        <v>No iniciado</v>
      </c>
      <c r="F29" s="40">
        <f ca="1">C29-Hoy!$C$4</f>
        <v>9</v>
      </c>
    </row>
    <row r="30" spans="2:12" ht="27" x14ac:dyDescent="0.3">
      <c r="B30" s="37" t="str">
        <f>'Gantt Cutover'!C50</f>
        <v>Reunión de Go / No-Go</v>
      </c>
      <c r="C30" s="38">
        <f>'Gantt Cutover'!J50</f>
        <v>46333</v>
      </c>
      <c r="D30" s="39" t="str">
        <f>'Gantt Cutover'!G50</f>
        <v>Comité de Proyecto</v>
      </c>
      <c r="E30" s="40" t="str">
        <f>'Gantt Cutover'!M50</f>
        <v>No iniciado</v>
      </c>
      <c r="F30" s="40">
        <f ca="1">C30-Hoy!$C$4</f>
        <v>10</v>
      </c>
    </row>
    <row r="31" spans="2:12" ht="27" x14ac:dyDescent="0.3">
      <c r="B31" s="37" t="str">
        <f>'Gantt Cutover'!C51</f>
        <v>Go-Live: apertura de SAP a los usuarios</v>
      </c>
      <c r="C31" s="38">
        <f>'Gantt Cutover'!J51</f>
        <v>46335</v>
      </c>
      <c r="D31" s="39" t="str">
        <f>'Gantt Cutover'!G51</f>
        <v>Gerente de Proyecto</v>
      </c>
      <c r="E31" s="40" t="str">
        <f>'Gantt Cutover'!M51</f>
        <v>No iniciado</v>
      </c>
      <c r="F31" s="40">
        <f ca="1">C31-Hoy!$C$4</f>
        <v>12</v>
      </c>
    </row>
    <row r="32" spans="2:12" ht="40.200000000000003" x14ac:dyDescent="0.3">
      <c r="B32" s="37" t="str">
        <f>'Gantt Cutover'!C52</f>
        <v>Primera factura electrónica emitida desde SAP</v>
      </c>
      <c r="C32" s="38">
        <f>'Gantt Cutover'!J52</f>
        <v>46335</v>
      </c>
      <c r="D32" s="39" t="str">
        <f>'Gantt Cutover'!G52</f>
        <v>Comercial / Facturación Colombia</v>
      </c>
      <c r="E32" s="40" t="str">
        <f>'Gantt Cutover'!M52</f>
        <v>No iniciado</v>
      </c>
      <c r="F32" s="40">
        <f ca="1">C32-Hoy!$C$4</f>
        <v>12</v>
      </c>
    </row>
    <row r="33" spans="2:8" ht="40.200000000000003" x14ac:dyDescent="0.3">
      <c r="B33" s="37" t="str">
        <f>'Gantt Cutover'!C57</f>
        <v>Regularización de Operaciones Finalizada</v>
      </c>
      <c r="C33" s="38">
        <f>'Gantt Cutover'!J57</f>
        <v>46338</v>
      </c>
      <c r="D33" s="39" t="str">
        <f>'Gantt Cutover'!G57</f>
        <v>Gerente de Contabilidad Regional</v>
      </c>
      <c r="E33" s="40" t="str">
        <f>'Gantt Cutover'!M57</f>
        <v>No iniciado</v>
      </c>
      <c r="F33" s="40">
        <f ca="1">C33-Hoy!$C$4</f>
        <v>15</v>
      </c>
    </row>
    <row r="34" spans="2:8" ht="27" x14ac:dyDescent="0.3">
      <c r="B34" s="37" t="str">
        <f>'Gantt Cutover'!C63</f>
        <v>Cierre del Hypercare y traspaso a soporte continuo</v>
      </c>
      <c r="C34" s="38">
        <f>'Gantt Cutover'!J63</f>
        <v>46346</v>
      </c>
      <c r="D34" s="39" t="str">
        <f>'Gantt Cutover'!G63</f>
        <v>Comité de Proyecto</v>
      </c>
      <c r="E34" s="40" t="str">
        <f>'Gantt Cutover'!M63</f>
        <v>No iniciado</v>
      </c>
      <c r="F34" s="40">
        <f ca="1">C34-Hoy!$C$4</f>
        <v>23</v>
      </c>
    </row>
    <row r="36" spans="2:8" ht="15.6" x14ac:dyDescent="0.3">
      <c r="B36" s="32" t="s">
        <v>289</v>
      </c>
    </row>
    <row r="37" spans="2:8" x14ac:dyDescent="0.3">
      <c r="B37" s="6" t="s">
        <v>15</v>
      </c>
      <c r="C37" s="6" t="s">
        <v>284</v>
      </c>
      <c r="D37" s="6" t="s">
        <v>41</v>
      </c>
      <c r="E37" s="6" t="s">
        <v>68</v>
      </c>
      <c r="F37" s="6" t="s">
        <v>269</v>
      </c>
      <c r="G37" s="6" t="s">
        <v>270</v>
      </c>
      <c r="H37" s="6" t="s">
        <v>280</v>
      </c>
    </row>
    <row r="38" spans="2:8" x14ac:dyDescent="0.3">
      <c r="B38" s="41" t="s">
        <v>37</v>
      </c>
      <c r="C38" s="40">
        <f>COUNTIFS('Gantt Cutover'!$F$6:$F$63,$B38,'Gantt Cutover'!$D$6:$D$63,"&lt;&gt;Fase")</f>
        <v>9</v>
      </c>
      <c r="D38" s="40">
        <f>COUNTIFS('Gantt Cutover'!$F$6:$F$63,$B38,'Gantt Cutover'!$D$6:$D$63,"&lt;&gt;Fase",'Gantt Cutover'!$M$6:$M$63,"No iniciado")</f>
        <v>9</v>
      </c>
      <c r="E38" s="40">
        <f>COUNTIFS('Gantt Cutover'!$F$6:$F$63,$B38,'Gantt Cutover'!$D$6:$D$63,"&lt;&gt;Fase",'Gantt Cutover'!$M$6:$M$63,"En curso")</f>
        <v>0</v>
      </c>
      <c r="F38" s="40">
        <f>COUNTIFS('Gantt Cutover'!$F$6:$F$63,$B38,'Gantt Cutover'!$D$6:$D$63,"&lt;&gt;Fase",'Gantt Cutover'!$M$6:$M$63,"Demorado")</f>
        <v>0</v>
      </c>
      <c r="G38" s="40">
        <f>COUNTIFS('Gantt Cutover'!$F$6:$F$63,$B38,'Gantt Cutover'!$D$6:$D$63,"&lt;&gt;Fase",'Gantt Cutover'!$M$6:$M$63,"Finalizado")</f>
        <v>0</v>
      </c>
      <c r="H38" s="40">
        <f ca="1">COUNTIFS('Gantt Cutover'!$F$6:$F$63,$B38,'Gantt Cutover'!$N$6:$N$63,"Vencida")</f>
        <v>0</v>
      </c>
    </row>
    <row r="39" spans="2:8" x14ac:dyDescent="0.3">
      <c r="B39" s="41" t="s">
        <v>64</v>
      </c>
      <c r="C39" s="40">
        <f>COUNTIFS('Gantt Cutover'!$F$6:$F$63,$B39,'Gantt Cutover'!$D$6:$D$63,"&lt;&gt;Fase")</f>
        <v>9</v>
      </c>
      <c r="D39" s="40">
        <f>COUNTIFS('Gantt Cutover'!$F$6:$F$63,$B39,'Gantt Cutover'!$D$6:$D$63,"&lt;&gt;Fase",'Gantt Cutover'!$M$6:$M$63,"No iniciado")</f>
        <v>4</v>
      </c>
      <c r="E39" s="40">
        <f>COUNTIFS('Gantt Cutover'!$F$6:$F$63,$B39,'Gantt Cutover'!$D$6:$D$63,"&lt;&gt;Fase",'Gantt Cutover'!$M$6:$M$63,"En curso")</f>
        <v>5</v>
      </c>
      <c r="F39" s="40">
        <f>COUNTIFS('Gantt Cutover'!$F$6:$F$63,$B39,'Gantt Cutover'!$D$6:$D$63,"&lt;&gt;Fase",'Gantt Cutover'!$M$6:$M$63,"Demorado")</f>
        <v>0</v>
      </c>
      <c r="G39" s="40">
        <f>COUNTIFS('Gantt Cutover'!$F$6:$F$63,$B39,'Gantt Cutover'!$D$6:$D$63,"&lt;&gt;Fase",'Gantt Cutover'!$M$6:$M$63,"Finalizado")</f>
        <v>0</v>
      </c>
      <c r="H39" s="40">
        <f ca="1">COUNTIFS('Gantt Cutover'!$F$6:$F$63,$B39,'Gantt Cutover'!$N$6:$N$63,"Vencida")</f>
        <v>0</v>
      </c>
    </row>
    <row r="40" spans="2:8" x14ac:dyDescent="0.3">
      <c r="B40" s="41" t="s">
        <v>87</v>
      </c>
      <c r="C40" s="40">
        <f>COUNTIFS('Gantt Cutover'!$F$6:$F$63,$B40,'Gantt Cutover'!$D$6:$D$63,"&lt;&gt;Fase")</f>
        <v>15</v>
      </c>
      <c r="D40" s="40">
        <f>COUNTIFS('Gantt Cutover'!$F$6:$F$63,$B40,'Gantt Cutover'!$D$6:$D$63,"&lt;&gt;Fase",'Gantt Cutover'!$M$6:$M$63,"No iniciado")</f>
        <v>15</v>
      </c>
      <c r="E40" s="40">
        <f>COUNTIFS('Gantt Cutover'!$F$6:$F$63,$B40,'Gantt Cutover'!$D$6:$D$63,"&lt;&gt;Fase",'Gantt Cutover'!$M$6:$M$63,"En curso")</f>
        <v>0</v>
      </c>
      <c r="F40" s="40">
        <f>COUNTIFS('Gantt Cutover'!$F$6:$F$63,$B40,'Gantt Cutover'!$D$6:$D$63,"&lt;&gt;Fase",'Gantt Cutover'!$M$6:$M$63,"Demorado")</f>
        <v>0</v>
      </c>
      <c r="G40" s="40">
        <f>COUNTIFS('Gantt Cutover'!$F$6:$F$63,$B40,'Gantt Cutover'!$D$6:$D$63,"&lt;&gt;Fase",'Gantt Cutover'!$M$6:$M$63,"Finalizado")</f>
        <v>0</v>
      </c>
      <c r="H40" s="40">
        <f ca="1">COUNTIFS('Gantt Cutover'!$F$6:$F$63,$B40,'Gantt Cutover'!$N$6:$N$63,"Vencida")</f>
        <v>0</v>
      </c>
    </row>
    <row r="41" spans="2:8" x14ac:dyDescent="0.3">
      <c r="B41" s="41" t="s">
        <v>117</v>
      </c>
      <c r="C41" s="40">
        <f>COUNTIFS('Gantt Cutover'!$F$6:$F$63,$B41,'Gantt Cutover'!$D$6:$D$63,"&lt;&gt;Fase")</f>
        <v>6</v>
      </c>
      <c r="D41" s="40">
        <f>COUNTIFS('Gantt Cutover'!$F$6:$F$63,$B41,'Gantt Cutover'!$D$6:$D$63,"&lt;&gt;Fase",'Gantt Cutover'!$M$6:$M$63,"No iniciado")</f>
        <v>6</v>
      </c>
      <c r="E41" s="40">
        <f>COUNTIFS('Gantt Cutover'!$F$6:$F$63,$B41,'Gantt Cutover'!$D$6:$D$63,"&lt;&gt;Fase",'Gantt Cutover'!$M$6:$M$63,"En curso")</f>
        <v>0</v>
      </c>
      <c r="F41" s="40">
        <f>COUNTIFS('Gantt Cutover'!$F$6:$F$63,$B41,'Gantt Cutover'!$D$6:$D$63,"&lt;&gt;Fase",'Gantt Cutover'!$M$6:$M$63,"Demorado")</f>
        <v>0</v>
      </c>
      <c r="G41" s="40">
        <f>COUNTIFS('Gantt Cutover'!$F$6:$F$63,$B41,'Gantt Cutover'!$D$6:$D$63,"&lt;&gt;Fase",'Gantt Cutover'!$M$6:$M$63,"Finalizado")</f>
        <v>0</v>
      </c>
      <c r="H41" s="40">
        <f ca="1">COUNTIFS('Gantt Cutover'!$F$6:$F$63,$B41,'Gantt Cutover'!$N$6:$N$63,"Vencida")</f>
        <v>0</v>
      </c>
    </row>
    <row r="42" spans="2:8" x14ac:dyDescent="0.3">
      <c r="B42" s="41" t="s">
        <v>72</v>
      </c>
      <c r="C42" s="40">
        <f>COUNTIFS('Gantt Cutover'!$F$6:$F$63,$B42,'Gantt Cutover'!$D$6:$D$63,"&lt;&gt;Fase")</f>
        <v>3</v>
      </c>
      <c r="D42" s="40">
        <f>COUNTIFS('Gantt Cutover'!$F$6:$F$63,$B42,'Gantt Cutover'!$D$6:$D$63,"&lt;&gt;Fase",'Gantt Cutover'!$M$6:$M$63,"No iniciado")</f>
        <v>2</v>
      </c>
      <c r="E42" s="40">
        <f>COUNTIFS('Gantt Cutover'!$F$6:$F$63,$B42,'Gantt Cutover'!$D$6:$D$63,"&lt;&gt;Fase",'Gantt Cutover'!$M$6:$M$63,"En curso")</f>
        <v>1</v>
      </c>
      <c r="F42" s="40">
        <f>COUNTIFS('Gantt Cutover'!$F$6:$F$63,$B42,'Gantt Cutover'!$D$6:$D$63,"&lt;&gt;Fase",'Gantt Cutover'!$M$6:$M$63,"Demorado")</f>
        <v>0</v>
      </c>
      <c r="G42" s="40">
        <f>COUNTIFS('Gantt Cutover'!$F$6:$F$63,$B42,'Gantt Cutover'!$D$6:$D$63,"&lt;&gt;Fase",'Gantt Cutover'!$M$6:$M$63,"Finalizado")</f>
        <v>0</v>
      </c>
      <c r="H42" s="40">
        <f ca="1">COUNTIFS('Gantt Cutover'!$F$6:$F$63,$B42,'Gantt Cutover'!$N$6:$N$63,"Vencida")</f>
        <v>0</v>
      </c>
    </row>
    <row r="43" spans="2:8" x14ac:dyDescent="0.3">
      <c r="B43" s="41" t="s">
        <v>74</v>
      </c>
      <c r="C43" s="40">
        <f>COUNTIFS('Gantt Cutover'!$F$6:$F$63,$B43,'Gantt Cutover'!$D$6:$D$63,"&lt;&gt;Fase")</f>
        <v>6</v>
      </c>
      <c r="D43" s="40">
        <f>COUNTIFS('Gantt Cutover'!$F$6:$F$63,$B43,'Gantt Cutover'!$D$6:$D$63,"&lt;&gt;Fase",'Gantt Cutover'!$M$6:$M$63,"No iniciado")</f>
        <v>5</v>
      </c>
      <c r="E43" s="40">
        <f>COUNTIFS('Gantt Cutover'!$F$6:$F$63,$B43,'Gantt Cutover'!$D$6:$D$63,"&lt;&gt;Fase",'Gantt Cutover'!$M$6:$M$63,"En curso")</f>
        <v>1</v>
      </c>
      <c r="F43" s="40">
        <f>COUNTIFS('Gantt Cutover'!$F$6:$F$63,$B43,'Gantt Cutover'!$D$6:$D$63,"&lt;&gt;Fase",'Gantt Cutover'!$M$6:$M$63,"Demorado")</f>
        <v>0</v>
      </c>
      <c r="G43" s="40">
        <f>COUNTIFS('Gantt Cutover'!$F$6:$F$63,$B43,'Gantt Cutover'!$D$6:$D$63,"&lt;&gt;Fase",'Gantt Cutover'!$M$6:$M$63,"Finalizado")</f>
        <v>0</v>
      </c>
      <c r="H43" s="40">
        <f ca="1">COUNTIFS('Gantt Cutover'!$F$6:$F$63,$B43,'Gantt Cutover'!$N$6:$N$63,"Vencida")</f>
        <v>0</v>
      </c>
    </row>
  </sheetData>
  <conditionalFormatting sqref="E23:E34">
    <cfRule type="cellIs" dxfId="16" priority="8" operator="equal">
      <formula>"Finalizado"</formula>
    </cfRule>
    <cfRule type="cellIs" dxfId="15" priority="9" operator="equal">
      <formula>"En curso"</formula>
    </cfRule>
    <cfRule type="cellIs" dxfId="14" priority="10" operator="equal">
      <formula>"Demorado"</formula>
    </cfRule>
    <cfRule type="cellIs" dxfId="13" priority="11" operator="equal">
      <formula>"No iniciado"</formula>
    </cfRule>
  </conditionalFormatting>
  <conditionalFormatting sqref="J10:J19">
    <cfRule type="dataBar" priority="2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{D51791D8-B265-4687-8468-A8ED59AAB916}</x14:id>
        </ext>
      </extLst>
    </cfRule>
  </conditionalFormatting>
  <conditionalFormatting sqref="K10:K19">
    <cfRule type="cellIs" dxfId="12" priority="7" operator="greaterThan">
      <formula>0</formula>
    </cfRule>
  </conditionalFormatting>
  <conditionalFormatting sqref="L10:L19">
    <cfRule type="cellIs" dxfId="11" priority="3" operator="equal">
      <formula>"Finalizado"</formula>
    </cfRule>
    <cfRule type="cellIs" dxfId="10" priority="4" operator="equal">
      <formula>"En curso"</formula>
    </cfRule>
    <cfRule type="cellIs" dxfId="9" priority="5" operator="equal">
      <formula>"Demorado"</formula>
    </cfRule>
    <cfRule type="cellIs" dxfId="8" priority="6" operator="equal">
      <formula>"No iniciado"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1791D8-B265-4687-8468-A8ED59AAB91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75B6"/>
            </x14:dataBar>
          </x14:cfRule>
          <xm:sqref>J10:J19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L108"/>
  <sheetViews>
    <sheetView showGridLines="0" zoomScaleNormal="100" workbookViewId="0">
      <pane ySplit="11" topLeftCell="A12" activePane="bottomLeft" state="frozen"/>
      <selection pane="bottomLeft"/>
    </sheetView>
  </sheetViews>
  <sheetFormatPr baseColWidth="10" defaultColWidth="8.6640625" defaultRowHeight="14.4" x14ac:dyDescent="0.3"/>
  <cols>
    <col min="1" max="1" width="2" customWidth="1"/>
    <col min="2" max="2" width="4" customWidth="1"/>
    <col min="3" max="3" width="6" customWidth="1"/>
    <col min="4" max="4" width="26" customWidth="1"/>
    <col min="5" max="5" width="42" customWidth="1"/>
    <col min="6" max="6" width="26" customWidth="1"/>
    <col min="7" max="7" width="24" customWidth="1"/>
    <col min="8" max="8" width="44" customWidth="1"/>
    <col min="9" max="9" width="11" customWidth="1"/>
    <col min="10" max="11" width="10" customWidth="1"/>
    <col min="12" max="12" width="13" customWidth="1"/>
  </cols>
  <sheetData>
    <row r="1" spans="1:12" ht="21" x14ac:dyDescent="0.4">
      <c r="A1" s="1" t="s">
        <v>290</v>
      </c>
    </row>
    <row r="2" spans="1:12" x14ac:dyDescent="0.3">
      <c r="A2" s="2" t="s">
        <v>291</v>
      </c>
    </row>
    <row r="4" spans="1:12" ht="15.6" x14ac:dyDescent="0.3">
      <c r="B4" s="42" t="s">
        <v>292</v>
      </c>
      <c r="C4" s="43">
        <f ca="1">TODAY()</f>
        <v>46323</v>
      </c>
    </row>
    <row r="5" spans="1:12" x14ac:dyDescent="0.3">
      <c r="B5" s="44" t="s">
        <v>282</v>
      </c>
      <c r="C5" s="45">
        <f ca="1">'Equipo y Calendario'!$B$28-C4</f>
        <v>12</v>
      </c>
    </row>
    <row r="6" spans="1:12" x14ac:dyDescent="0.3">
      <c r="B6" s="44" t="s">
        <v>293</v>
      </c>
      <c r="C6" s="46" t="str">
        <f ca="1">IF(AND(C4&gt;='Equipo y Calendario'!$B$29,C4&lt;='Equipo y Calendario'!$B$30),"Sí – Bogotá","No")</f>
        <v>No</v>
      </c>
    </row>
    <row r="7" spans="1:12" x14ac:dyDescent="0.3">
      <c r="B7" s="44" t="s">
        <v>294</v>
      </c>
      <c r="C7" s="46" t="str">
        <f ca="1">IF(COUNTIF('Equipo y Calendario'!$B$33:$B$38,C4)&gt;0,"Feriado en Colombia",IF(WEEKDAY(C4,2)&gt;5,"Fin de semana","Día hábil"))</f>
        <v>Día hábil</v>
      </c>
    </row>
    <row r="8" spans="1:12" x14ac:dyDescent="0.3">
      <c r="B8" s="44" t="s">
        <v>290</v>
      </c>
      <c r="C8" s="45">
        <f ca="1">SUM('Gantt Cutover'!$AX$6:$AX$63)</f>
        <v>5</v>
      </c>
    </row>
    <row r="9" spans="1:12" x14ac:dyDescent="0.3">
      <c r="B9" s="44" t="s">
        <v>295</v>
      </c>
      <c r="C9" s="45">
        <f ca="1">SUM('Gantt Cutover'!$AZ$6:$AZ$63)</f>
        <v>0</v>
      </c>
    </row>
    <row r="12" spans="1:12" ht="15.6" x14ac:dyDescent="0.3">
      <c r="B12" s="32" t="s">
        <v>296</v>
      </c>
    </row>
    <row r="13" spans="1:12" x14ac:dyDescent="0.3">
      <c r="B13" s="6" t="s">
        <v>297</v>
      </c>
      <c r="C13" s="6" t="s">
        <v>10</v>
      </c>
      <c r="D13" s="6" t="s">
        <v>11</v>
      </c>
      <c r="E13" s="6" t="s">
        <v>12</v>
      </c>
      <c r="F13" s="6" t="s">
        <v>16</v>
      </c>
      <c r="G13" s="6" t="s">
        <v>298</v>
      </c>
      <c r="H13" s="6" t="s">
        <v>17</v>
      </c>
      <c r="I13" s="6" t="s">
        <v>18</v>
      </c>
      <c r="J13" s="6" t="s">
        <v>19</v>
      </c>
      <c r="K13" s="6" t="s">
        <v>20</v>
      </c>
      <c r="L13" s="6" t="s">
        <v>22</v>
      </c>
    </row>
    <row r="14" spans="1:12" ht="27.75" customHeight="1" x14ac:dyDescent="0.3">
      <c r="B14" s="47">
        <v>1</v>
      </c>
      <c r="C14" s="48" t="str">
        <f ca="1">IFERROR(INDEX('Gantt Cutover'!$A$6:$A$63,MATCH(1,'Gantt Cutover'!$AY$6:$AY$63,0)),"")</f>
        <v>C06</v>
      </c>
      <c r="D14" s="48" t="str">
        <f ca="1">IFERROR(INDEX('Gantt Cutover'!$B$6:$B$63,MATCH(1,'Gantt Cutover'!$AY$6:$AY$63,0)),"")</f>
        <v>1. Pruebas y Validación Modelos de Negocios</v>
      </c>
      <c r="E14" s="49" t="str">
        <f ca="1">IFERROR(INDEX('Gantt Cutover'!$C$6:$C$63,MATCH(1,'Gantt Cutover'!$AY$6:$AY$63,0)),"")</f>
        <v>Pruebas y ajustes a Modelos de Negocio</v>
      </c>
      <c r="F14" s="49" t="str">
        <f ca="1">IFERROR(INDEX('Gantt Cutover'!$G$6:$G$63,MATCH(1,'Gantt Cutover'!$AY$6:$AY$63,0)),"")</f>
        <v>Jefe de Implementación</v>
      </c>
      <c r="G14" s="49" t="str">
        <f ca="1">IFERROR(INDEX('Equipo y Calendario'!$B$5:$B$24,MATCH(F14,'Equipo y Calendario'!$A$5:$A$24,0)),"")</f>
        <v>Jorge Muñoz</v>
      </c>
      <c r="H14" s="49" t="str">
        <f ca="1">IFERROR(INDEX('Gantt Cutover'!$H$6:$H$63,MATCH(1,'Gantt Cutover'!$AY$6:$AY$63,0)),"")</f>
        <v>Implementador – Consultor FI/CO; Implementador – Consultor MM/SD; TI Portland FICO; TI Portland MM; Contabilidad Colombia; Comercial / Facturación Colombia; Logística / Bodega Colombia</v>
      </c>
      <c r="I14" s="49" t="str">
        <f ca="1">IFERROR(INDEX('Gantt Cutover'!$I$6:$I$63,MATCH(1,'Gantt Cutover'!$AY$6:$AY$63,0)),"")</f>
        <v>Remoto</v>
      </c>
      <c r="J14" s="50">
        <f ca="1">IFERROR(INDEX('Gantt Cutover'!$J$6:$J$63,MATCH(1,'Gantt Cutover'!$AY$6:$AY$63,0)),"")</f>
        <v>46321</v>
      </c>
      <c r="K14" s="50">
        <f ca="1">IFERROR(INDEX('Gantt Cutover'!$K$6:$K$63,MATCH(1,'Gantt Cutover'!$AY$6:$AY$63,0)),"")</f>
        <v>46325</v>
      </c>
      <c r="L14" s="48" t="str">
        <f ca="1">IFERROR(INDEX('Gantt Cutover'!$M$6:$M$63,MATCH(1,'Gantt Cutover'!$AY$6:$AY$63,0)),"")</f>
        <v>En curso</v>
      </c>
    </row>
    <row r="15" spans="1:12" ht="27.75" customHeight="1" x14ac:dyDescent="0.3">
      <c r="B15" s="47">
        <v>2</v>
      </c>
      <c r="C15" s="48" t="str">
        <f ca="1">IFERROR(INDEX('Gantt Cutover'!$A$6:$A$63,MATCH(2,'Gantt Cutover'!$AY$6:$AY$63,0)),"")</f>
        <v>C07</v>
      </c>
      <c r="D15" s="48" t="str">
        <f ca="1">IFERROR(INDEX('Gantt Cutover'!$B$6:$B$63,MATCH(2,'Gantt Cutover'!$AY$6:$AY$63,0)),"")</f>
        <v>1. Pruebas y Validación Modelos de Negocios</v>
      </c>
      <c r="E15" s="49" t="str">
        <f ca="1">IFERROR(INDEX('Gantt Cutover'!$C$6:$C$63,MATCH(2,'Gantt Cutover'!$AY$6:$AY$63,0)),"")</f>
        <v>Pruebas y Ajustes a FFEE</v>
      </c>
      <c r="F15" s="49" t="str">
        <f ca="1">IFERROR(INDEX('Gantt Cutover'!$G$6:$G$63,MATCH(2,'Gantt Cutover'!$AY$6:$AY$63,0)),"")</f>
        <v>Jefe de Implementación</v>
      </c>
      <c r="G15" s="49" t="str">
        <f ca="1">IFERROR(INDEX('Equipo y Calendario'!$B$5:$B$24,MATCH(F15,'Equipo y Calendario'!$A$5:$A$24,0)),"")</f>
        <v>Jorge Muñoz</v>
      </c>
      <c r="H15" s="49" t="str">
        <f ca="1">IFERROR(INDEX('Gantt Cutover'!$H$6:$H$63,MATCH(2,'Gantt Cutover'!$AY$6:$AY$63,0)),"")</f>
        <v>TI Portland SD y FFEE; Implementador – FFEE/Formularios</v>
      </c>
      <c r="I15" s="49" t="str">
        <f ca="1">IFERROR(INDEX('Gantt Cutover'!$I$6:$I$63,MATCH(2,'Gantt Cutover'!$AY$6:$AY$63,0)),"")</f>
        <v>Remoto</v>
      </c>
      <c r="J15" s="50">
        <f ca="1">IFERROR(INDEX('Gantt Cutover'!$J$6:$J$63,MATCH(2,'Gantt Cutover'!$AY$6:$AY$63,0)),"")</f>
        <v>46321</v>
      </c>
      <c r="K15" s="50">
        <f ca="1">IFERROR(INDEX('Gantt Cutover'!$K$6:$K$63,MATCH(2,'Gantt Cutover'!$AY$6:$AY$63,0)),"")</f>
        <v>46325</v>
      </c>
      <c r="L15" s="48" t="str">
        <f ca="1">IFERROR(INDEX('Gantt Cutover'!$M$6:$M$63,MATCH(2,'Gantt Cutover'!$AY$6:$AY$63,0)),"")</f>
        <v>En curso</v>
      </c>
    </row>
    <row r="16" spans="1:12" ht="27.75" customHeight="1" x14ac:dyDescent="0.3">
      <c r="B16" s="47">
        <v>3</v>
      </c>
      <c r="C16" s="48" t="str">
        <f ca="1">IFERROR(INDEX('Gantt Cutover'!$A$6:$A$63,MATCH(3,'Gantt Cutover'!$AY$6:$AY$63,0)),"")</f>
        <v>C14</v>
      </c>
      <c r="D16" s="48" t="str">
        <f ca="1">IFERROR(INDEX('Gantt Cutover'!$B$6:$B$63,MATCH(3,'Gantt Cutover'!$AY$6:$AY$63,0)),"")</f>
        <v>3. Cierre del sistema actual</v>
      </c>
      <c r="E16" s="49" t="str">
        <f ca="1">IFERROR(INDEX('Gantt Cutover'!$C$6:$C$63,MATCH(3,'Gantt Cutover'!$AY$6:$AY$63,0)),"")</f>
        <v>Registro de últimas operaciones en sistema actual</v>
      </c>
      <c r="F16" s="49" t="str">
        <f ca="1">IFERROR(INDEX('Gantt Cutover'!$G$6:$G$63,MATCH(3,'Gantt Cutover'!$AY$6:$AY$63,0)),"")</f>
        <v>Contabilidad Colombia</v>
      </c>
      <c r="G16" s="49" t="str">
        <f ca="1">IFERROR(INDEX('Equipo y Calendario'!$B$5:$B$24,MATCH(F16,'Equipo y Calendario'!$A$5:$A$24,0)),"")</f>
        <v>Camila Castiblanco</v>
      </c>
      <c r="H16" s="49" t="str">
        <f ca="1">IFERROR(INDEX('Gantt Cutover'!$H$6:$H$63,MATCH(3,'Gantt Cutover'!$AY$6:$AY$63,0)),"")</f>
        <v>Comercial / Facturación Colombia; Logística / Bodega Colombia; Tesorería Colombia</v>
      </c>
      <c r="I16" s="49" t="str">
        <f ca="1">IFERROR(INDEX('Gantt Cutover'!$I$6:$I$63,MATCH(3,'Gantt Cutover'!$AY$6:$AY$63,0)),"")</f>
        <v>Remoto</v>
      </c>
      <c r="J16" s="50">
        <f ca="1">IFERROR(INDEX('Gantt Cutover'!$J$6:$J$63,MATCH(3,'Gantt Cutover'!$AY$6:$AY$63,0)),"")</f>
        <v>46321</v>
      </c>
      <c r="K16" s="50">
        <f ca="1">IFERROR(INDEX('Gantt Cutover'!$K$6:$K$63,MATCH(3,'Gantt Cutover'!$AY$6:$AY$63,0)),"")</f>
        <v>46323</v>
      </c>
      <c r="L16" s="48" t="str">
        <f ca="1">IFERROR(INDEX('Gantt Cutover'!$M$6:$M$63,MATCH(3,'Gantt Cutover'!$AY$6:$AY$63,0)),"")</f>
        <v>En curso</v>
      </c>
    </row>
    <row r="17" spans="2:12" ht="27.75" customHeight="1" x14ac:dyDescent="0.3">
      <c r="B17" s="47">
        <v>4</v>
      </c>
      <c r="C17" s="48" t="str">
        <f ca="1">IFERROR(INDEX('Gantt Cutover'!$A$6:$A$63,MATCH(4,'Gantt Cutover'!$AY$6:$AY$63,0)),"")</f>
        <v>C15</v>
      </c>
      <c r="D17" s="48" t="str">
        <f ca="1">IFERROR(INDEX('Gantt Cutover'!$B$6:$B$63,MATCH(4,'Gantt Cutover'!$AY$6:$AY$63,0)),"")</f>
        <v>3. Cierre del sistema actual</v>
      </c>
      <c r="E17" s="49" t="str">
        <f ca="1">IFERROR(INDEX('Gantt Cutover'!$C$6:$C$63,MATCH(4,'Gantt Cutover'!$AY$6:$AY$63,0)),"")</f>
        <v>Cierre de registros del sistema actual</v>
      </c>
      <c r="F17" s="49" t="str">
        <f ca="1">IFERROR(INDEX('Gantt Cutover'!$G$6:$G$63,MATCH(4,'Gantt Cutover'!$AY$6:$AY$63,0)),"")</f>
        <v>Contabilidad Colombia</v>
      </c>
      <c r="G17" s="49" t="str">
        <f ca="1">IFERROR(INDEX('Equipo y Calendario'!$B$5:$B$24,MATCH(F17,'Equipo y Calendario'!$A$5:$A$24,0)),"")</f>
        <v>Camila Castiblanco</v>
      </c>
      <c r="H17" s="49" t="str">
        <f ca="1">IFERROR(INDEX('Gantt Cutover'!$H$6:$H$63,MATCH(4,'Gantt Cutover'!$AY$6:$AY$63,0)),"")</f>
        <v>Gerencia Colombia; PMO Portland</v>
      </c>
      <c r="I17" s="49" t="str">
        <f ca="1">IFERROR(INDEX('Gantt Cutover'!$I$6:$I$63,MATCH(4,'Gantt Cutover'!$AY$6:$AY$63,0)),"")</f>
        <v>Remoto</v>
      </c>
      <c r="J17" s="50">
        <f ca="1">IFERROR(INDEX('Gantt Cutover'!$J$6:$J$63,MATCH(4,'Gantt Cutover'!$AY$6:$AY$63,0)),"")</f>
        <v>46323</v>
      </c>
      <c r="K17" s="50">
        <f ca="1">IFERROR(INDEX('Gantt Cutover'!$K$6:$K$63,MATCH(4,'Gantt Cutover'!$AY$6:$AY$63,0)),"")</f>
        <v>46323</v>
      </c>
      <c r="L17" s="48" t="str">
        <f ca="1">IFERROR(INDEX('Gantt Cutover'!$M$6:$M$63,MATCH(4,'Gantt Cutover'!$AY$6:$AY$63,0)),"")</f>
        <v>En curso</v>
      </c>
    </row>
    <row r="18" spans="2:12" ht="27.75" customHeight="1" x14ac:dyDescent="0.3">
      <c r="B18" s="47">
        <v>5</v>
      </c>
      <c r="C18" s="48" t="str">
        <f ca="1">IFERROR(INDEX('Gantt Cutover'!$A$6:$A$63,MATCH(5,'Gantt Cutover'!$AY$6:$AY$63,0)),"")</f>
        <v>C23</v>
      </c>
      <c r="D18" s="48" t="str">
        <f ca="1">IFERROR(INDEX('Gantt Cutover'!$B$6:$B$63,MATCH(5,'Gantt Cutover'!$AY$6:$AY$63,0)),"")</f>
        <v>5. Secuencia de Paso a Producción</v>
      </c>
      <c r="E18" s="49" t="str">
        <f ca="1">IFERROR(INDEX('Gantt Cutover'!$C$6:$C$63,MATCH(5,'Gantt Cutover'!$AY$6:$AY$63,0)),"")</f>
        <v>Pruebas de Regresión Perú</v>
      </c>
      <c r="F18" s="49" t="str">
        <f ca="1">IFERROR(INDEX('Gantt Cutover'!$G$6:$G$63,MATCH(5,'Gantt Cutover'!$AY$6:$AY$63,0)),"")</f>
        <v>TI Portland Perú</v>
      </c>
      <c r="G18" s="49" t="str">
        <f ca="1">IFERROR(INDEX('Equipo y Calendario'!$B$5:$B$24,MATCH(F18,'Equipo y Calendario'!$A$5:$A$24,0)),"")</f>
        <v>Alonso Cuba</v>
      </c>
      <c r="H18" s="49" t="str">
        <f ca="1">IFERROR(INDEX('Gantt Cutover'!$H$6:$H$63,MATCH(5,'Gantt Cutover'!$AY$6:$AY$63,0)),"")</f>
        <v>TI Portland Perú</v>
      </c>
      <c r="I18" s="49" t="str">
        <f ca="1">IFERROR(INDEX('Gantt Cutover'!$I$6:$I$63,MATCH(5,'Gantt Cutover'!$AY$6:$AY$63,0)),"")</f>
        <v>Remoto</v>
      </c>
      <c r="J18" s="50">
        <f ca="1">IFERROR(INDEX('Gantt Cutover'!$J$6:$J$63,MATCH(5,'Gantt Cutover'!$AY$6:$AY$63,0)),"")</f>
        <v>46321</v>
      </c>
      <c r="K18" s="50">
        <f ca="1">IFERROR(INDEX('Gantt Cutover'!$K$6:$K$63,MATCH(5,'Gantt Cutover'!$AY$6:$AY$63,0)),"")</f>
        <v>46323</v>
      </c>
      <c r="L18" s="48" t="str">
        <f ca="1">IFERROR(INDEX('Gantt Cutover'!$M$6:$M$63,MATCH(5,'Gantt Cutover'!$AY$6:$AY$63,0)),"")</f>
        <v>En curso</v>
      </c>
    </row>
    <row r="19" spans="2:12" ht="27.75" customHeight="1" x14ac:dyDescent="0.3">
      <c r="B19" s="47">
        <v>6</v>
      </c>
      <c r="C19" s="48" t="str">
        <f ca="1">IFERROR(INDEX('Gantt Cutover'!$A$6:$A$63,MATCH(6,'Gantt Cutover'!$AY$6:$AY$63,0)),"")</f>
        <v/>
      </c>
      <c r="D19" s="48" t="str">
        <f ca="1">IFERROR(INDEX('Gantt Cutover'!$B$6:$B$63,MATCH(6,'Gantt Cutover'!$AY$6:$AY$63,0)),"")</f>
        <v/>
      </c>
      <c r="E19" s="49" t="str">
        <f ca="1">IFERROR(INDEX('Gantt Cutover'!$C$6:$C$63,MATCH(6,'Gantt Cutover'!$AY$6:$AY$63,0)),"")</f>
        <v/>
      </c>
      <c r="F19" s="49" t="str">
        <f ca="1">IFERROR(INDEX('Gantt Cutover'!$G$6:$G$63,MATCH(6,'Gantt Cutover'!$AY$6:$AY$63,0)),"")</f>
        <v/>
      </c>
      <c r="G19" s="49" t="str">
        <f ca="1">IFERROR(INDEX('Equipo y Calendario'!$B$5:$B$24,MATCH(F19,'Equipo y Calendario'!$A$5:$A$24,0)),"")</f>
        <v/>
      </c>
      <c r="H19" s="49" t="str">
        <f ca="1">IFERROR(INDEX('Gantt Cutover'!$H$6:$H$63,MATCH(6,'Gantt Cutover'!$AY$6:$AY$63,0)),"")</f>
        <v/>
      </c>
      <c r="I19" s="49" t="str">
        <f ca="1">IFERROR(INDEX('Gantt Cutover'!$I$6:$I$63,MATCH(6,'Gantt Cutover'!$AY$6:$AY$63,0)),"")</f>
        <v/>
      </c>
      <c r="J19" s="50" t="str">
        <f ca="1">IFERROR(INDEX('Gantt Cutover'!$J$6:$J$63,MATCH(6,'Gantt Cutover'!$AY$6:$AY$63,0)),"")</f>
        <v/>
      </c>
      <c r="K19" s="50" t="str">
        <f ca="1">IFERROR(INDEX('Gantt Cutover'!$K$6:$K$63,MATCH(6,'Gantt Cutover'!$AY$6:$AY$63,0)),"")</f>
        <v/>
      </c>
      <c r="L19" s="48" t="str">
        <f ca="1">IFERROR(INDEX('Gantt Cutover'!$M$6:$M$63,MATCH(6,'Gantt Cutover'!$AY$6:$AY$63,0)),"")</f>
        <v/>
      </c>
    </row>
    <row r="20" spans="2:12" ht="27.75" customHeight="1" x14ac:dyDescent="0.3">
      <c r="B20" s="47">
        <v>7</v>
      </c>
      <c r="C20" s="48" t="str">
        <f ca="1">IFERROR(INDEX('Gantt Cutover'!$A$6:$A$63,MATCH(7,'Gantt Cutover'!$AY$6:$AY$63,0)),"")</f>
        <v/>
      </c>
      <c r="D20" s="48" t="str">
        <f ca="1">IFERROR(INDEX('Gantt Cutover'!$B$6:$B$63,MATCH(7,'Gantt Cutover'!$AY$6:$AY$63,0)),"")</f>
        <v/>
      </c>
      <c r="E20" s="49" t="str">
        <f ca="1">IFERROR(INDEX('Gantt Cutover'!$C$6:$C$63,MATCH(7,'Gantt Cutover'!$AY$6:$AY$63,0)),"")</f>
        <v/>
      </c>
      <c r="F20" s="49" t="str">
        <f ca="1">IFERROR(INDEX('Gantt Cutover'!$G$6:$G$63,MATCH(7,'Gantt Cutover'!$AY$6:$AY$63,0)),"")</f>
        <v/>
      </c>
      <c r="G20" s="49" t="str">
        <f ca="1">IFERROR(INDEX('Equipo y Calendario'!$B$5:$B$24,MATCH(F20,'Equipo y Calendario'!$A$5:$A$24,0)),"")</f>
        <v/>
      </c>
      <c r="H20" s="49" t="str">
        <f ca="1">IFERROR(INDEX('Gantt Cutover'!$H$6:$H$63,MATCH(7,'Gantt Cutover'!$AY$6:$AY$63,0)),"")</f>
        <v/>
      </c>
      <c r="I20" s="49" t="str">
        <f ca="1">IFERROR(INDEX('Gantt Cutover'!$I$6:$I$63,MATCH(7,'Gantt Cutover'!$AY$6:$AY$63,0)),"")</f>
        <v/>
      </c>
      <c r="J20" s="50" t="str">
        <f ca="1">IFERROR(INDEX('Gantt Cutover'!$J$6:$J$63,MATCH(7,'Gantt Cutover'!$AY$6:$AY$63,0)),"")</f>
        <v/>
      </c>
      <c r="K20" s="50" t="str">
        <f ca="1">IFERROR(INDEX('Gantt Cutover'!$K$6:$K$63,MATCH(7,'Gantt Cutover'!$AY$6:$AY$63,0)),"")</f>
        <v/>
      </c>
      <c r="L20" s="48" t="str">
        <f ca="1">IFERROR(INDEX('Gantt Cutover'!$M$6:$M$63,MATCH(7,'Gantt Cutover'!$AY$6:$AY$63,0)),"")</f>
        <v/>
      </c>
    </row>
    <row r="21" spans="2:12" ht="27.75" customHeight="1" x14ac:dyDescent="0.3">
      <c r="B21" s="47">
        <v>8</v>
      </c>
      <c r="C21" s="48" t="str">
        <f ca="1">IFERROR(INDEX('Gantt Cutover'!$A$6:$A$63,MATCH(8,'Gantt Cutover'!$AY$6:$AY$63,0)),"")</f>
        <v/>
      </c>
      <c r="D21" s="48" t="str">
        <f ca="1">IFERROR(INDEX('Gantt Cutover'!$B$6:$B$63,MATCH(8,'Gantt Cutover'!$AY$6:$AY$63,0)),"")</f>
        <v/>
      </c>
      <c r="E21" s="49" t="str">
        <f ca="1">IFERROR(INDEX('Gantt Cutover'!$C$6:$C$63,MATCH(8,'Gantt Cutover'!$AY$6:$AY$63,0)),"")</f>
        <v/>
      </c>
      <c r="F21" s="49" t="str">
        <f ca="1">IFERROR(INDEX('Gantt Cutover'!$G$6:$G$63,MATCH(8,'Gantt Cutover'!$AY$6:$AY$63,0)),"")</f>
        <v/>
      </c>
      <c r="G21" s="49" t="str">
        <f ca="1">IFERROR(INDEX('Equipo y Calendario'!$B$5:$B$24,MATCH(F21,'Equipo y Calendario'!$A$5:$A$24,0)),"")</f>
        <v/>
      </c>
      <c r="H21" s="49" t="str">
        <f ca="1">IFERROR(INDEX('Gantt Cutover'!$H$6:$H$63,MATCH(8,'Gantt Cutover'!$AY$6:$AY$63,0)),"")</f>
        <v/>
      </c>
      <c r="I21" s="49" t="str">
        <f ca="1">IFERROR(INDEX('Gantt Cutover'!$I$6:$I$63,MATCH(8,'Gantt Cutover'!$AY$6:$AY$63,0)),"")</f>
        <v/>
      </c>
      <c r="J21" s="50" t="str">
        <f ca="1">IFERROR(INDEX('Gantt Cutover'!$J$6:$J$63,MATCH(8,'Gantt Cutover'!$AY$6:$AY$63,0)),"")</f>
        <v/>
      </c>
      <c r="K21" s="50" t="str">
        <f ca="1">IFERROR(INDEX('Gantt Cutover'!$K$6:$K$63,MATCH(8,'Gantt Cutover'!$AY$6:$AY$63,0)),"")</f>
        <v/>
      </c>
      <c r="L21" s="48" t="str">
        <f ca="1">IFERROR(INDEX('Gantt Cutover'!$M$6:$M$63,MATCH(8,'Gantt Cutover'!$AY$6:$AY$63,0)),"")</f>
        <v/>
      </c>
    </row>
    <row r="22" spans="2:12" ht="27.75" customHeight="1" x14ac:dyDescent="0.3">
      <c r="B22" s="47">
        <v>9</v>
      </c>
      <c r="C22" s="48" t="str">
        <f ca="1">IFERROR(INDEX('Gantt Cutover'!$A$6:$A$63,MATCH(9,'Gantt Cutover'!$AY$6:$AY$63,0)),"")</f>
        <v/>
      </c>
      <c r="D22" s="48" t="str">
        <f ca="1">IFERROR(INDEX('Gantt Cutover'!$B$6:$B$63,MATCH(9,'Gantt Cutover'!$AY$6:$AY$63,0)),"")</f>
        <v/>
      </c>
      <c r="E22" s="49" t="str">
        <f ca="1">IFERROR(INDEX('Gantt Cutover'!$C$6:$C$63,MATCH(9,'Gantt Cutover'!$AY$6:$AY$63,0)),"")</f>
        <v/>
      </c>
      <c r="F22" s="49" t="str">
        <f ca="1">IFERROR(INDEX('Gantt Cutover'!$G$6:$G$63,MATCH(9,'Gantt Cutover'!$AY$6:$AY$63,0)),"")</f>
        <v/>
      </c>
      <c r="G22" s="49" t="str">
        <f ca="1">IFERROR(INDEX('Equipo y Calendario'!$B$5:$B$24,MATCH(F22,'Equipo y Calendario'!$A$5:$A$24,0)),"")</f>
        <v/>
      </c>
      <c r="H22" s="49" t="str">
        <f ca="1">IFERROR(INDEX('Gantt Cutover'!$H$6:$H$63,MATCH(9,'Gantt Cutover'!$AY$6:$AY$63,0)),"")</f>
        <v/>
      </c>
      <c r="I22" s="49" t="str">
        <f ca="1">IFERROR(INDEX('Gantt Cutover'!$I$6:$I$63,MATCH(9,'Gantt Cutover'!$AY$6:$AY$63,0)),"")</f>
        <v/>
      </c>
      <c r="J22" s="50" t="str">
        <f ca="1">IFERROR(INDEX('Gantt Cutover'!$J$6:$J$63,MATCH(9,'Gantt Cutover'!$AY$6:$AY$63,0)),"")</f>
        <v/>
      </c>
      <c r="K22" s="50" t="str">
        <f ca="1">IFERROR(INDEX('Gantt Cutover'!$K$6:$K$63,MATCH(9,'Gantt Cutover'!$AY$6:$AY$63,0)),"")</f>
        <v/>
      </c>
      <c r="L22" s="48" t="str">
        <f ca="1">IFERROR(INDEX('Gantt Cutover'!$M$6:$M$63,MATCH(9,'Gantt Cutover'!$AY$6:$AY$63,0)),"")</f>
        <v/>
      </c>
    </row>
    <row r="23" spans="2:12" ht="27.75" customHeight="1" x14ac:dyDescent="0.3">
      <c r="B23" s="47">
        <v>10</v>
      </c>
      <c r="C23" s="48" t="str">
        <f ca="1">IFERROR(INDEX('Gantt Cutover'!$A$6:$A$63,MATCH(10,'Gantt Cutover'!$AY$6:$AY$63,0)),"")</f>
        <v/>
      </c>
      <c r="D23" s="48" t="str">
        <f ca="1">IFERROR(INDEX('Gantt Cutover'!$B$6:$B$63,MATCH(10,'Gantt Cutover'!$AY$6:$AY$63,0)),"")</f>
        <v/>
      </c>
      <c r="E23" s="49" t="str">
        <f ca="1">IFERROR(INDEX('Gantt Cutover'!$C$6:$C$63,MATCH(10,'Gantt Cutover'!$AY$6:$AY$63,0)),"")</f>
        <v/>
      </c>
      <c r="F23" s="49" t="str">
        <f ca="1">IFERROR(INDEX('Gantt Cutover'!$G$6:$G$63,MATCH(10,'Gantt Cutover'!$AY$6:$AY$63,0)),"")</f>
        <v/>
      </c>
      <c r="G23" s="49" t="str">
        <f ca="1">IFERROR(INDEX('Equipo y Calendario'!$B$5:$B$24,MATCH(F23,'Equipo y Calendario'!$A$5:$A$24,0)),"")</f>
        <v/>
      </c>
      <c r="H23" s="49" t="str">
        <f ca="1">IFERROR(INDEX('Gantt Cutover'!$H$6:$H$63,MATCH(10,'Gantt Cutover'!$AY$6:$AY$63,0)),"")</f>
        <v/>
      </c>
      <c r="I23" s="49" t="str">
        <f ca="1">IFERROR(INDEX('Gantt Cutover'!$I$6:$I$63,MATCH(10,'Gantt Cutover'!$AY$6:$AY$63,0)),"")</f>
        <v/>
      </c>
      <c r="J23" s="50" t="str">
        <f ca="1">IFERROR(INDEX('Gantt Cutover'!$J$6:$J$63,MATCH(10,'Gantt Cutover'!$AY$6:$AY$63,0)),"")</f>
        <v/>
      </c>
      <c r="K23" s="50" t="str">
        <f ca="1">IFERROR(INDEX('Gantt Cutover'!$K$6:$K$63,MATCH(10,'Gantt Cutover'!$AY$6:$AY$63,0)),"")</f>
        <v/>
      </c>
      <c r="L23" s="48" t="str">
        <f ca="1">IFERROR(INDEX('Gantt Cutover'!$M$6:$M$63,MATCH(10,'Gantt Cutover'!$AY$6:$AY$63,0)),"")</f>
        <v/>
      </c>
    </row>
    <row r="24" spans="2:12" ht="27.75" customHeight="1" x14ac:dyDescent="0.3">
      <c r="B24" s="47">
        <v>11</v>
      </c>
      <c r="C24" s="48" t="str">
        <f ca="1">IFERROR(INDEX('Gantt Cutover'!$A$6:$A$63,MATCH(11,'Gantt Cutover'!$AY$6:$AY$63,0)),"")</f>
        <v/>
      </c>
      <c r="D24" s="48" t="str">
        <f ca="1">IFERROR(INDEX('Gantt Cutover'!$B$6:$B$63,MATCH(11,'Gantt Cutover'!$AY$6:$AY$63,0)),"")</f>
        <v/>
      </c>
      <c r="E24" s="49" t="str">
        <f ca="1">IFERROR(INDEX('Gantt Cutover'!$C$6:$C$63,MATCH(11,'Gantt Cutover'!$AY$6:$AY$63,0)),"")</f>
        <v/>
      </c>
      <c r="F24" s="49" t="str">
        <f ca="1">IFERROR(INDEX('Gantt Cutover'!$G$6:$G$63,MATCH(11,'Gantt Cutover'!$AY$6:$AY$63,0)),"")</f>
        <v/>
      </c>
      <c r="G24" s="49" t="str">
        <f ca="1">IFERROR(INDEX('Equipo y Calendario'!$B$5:$B$24,MATCH(F24,'Equipo y Calendario'!$A$5:$A$24,0)),"")</f>
        <v/>
      </c>
      <c r="H24" s="49" t="str">
        <f ca="1">IFERROR(INDEX('Gantt Cutover'!$H$6:$H$63,MATCH(11,'Gantt Cutover'!$AY$6:$AY$63,0)),"")</f>
        <v/>
      </c>
      <c r="I24" s="49" t="str">
        <f ca="1">IFERROR(INDEX('Gantt Cutover'!$I$6:$I$63,MATCH(11,'Gantt Cutover'!$AY$6:$AY$63,0)),"")</f>
        <v/>
      </c>
      <c r="J24" s="50" t="str">
        <f ca="1">IFERROR(INDEX('Gantt Cutover'!$J$6:$J$63,MATCH(11,'Gantt Cutover'!$AY$6:$AY$63,0)),"")</f>
        <v/>
      </c>
      <c r="K24" s="50" t="str">
        <f ca="1">IFERROR(INDEX('Gantt Cutover'!$K$6:$K$63,MATCH(11,'Gantt Cutover'!$AY$6:$AY$63,0)),"")</f>
        <v/>
      </c>
      <c r="L24" s="48" t="str">
        <f ca="1">IFERROR(INDEX('Gantt Cutover'!$M$6:$M$63,MATCH(11,'Gantt Cutover'!$AY$6:$AY$63,0)),"")</f>
        <v/>
      </c>
    </row>
    <row r="25" spans="2:12" ht="27.75" customHeight="1" x14ac:dyDescent="0.3">
      <c r="B25" s="47">
        <v>12</v>
      </c>
      <c r="C25" s="48" t="str">
        <f ca="1">IFERROR(INDEX('Gantt Cutover'!$A$6:$A$63,MATCH(12,'Gantt Cutover'!$AY$6:$AY$63,0)),"")</f>
        <v/>
      </c>
      <c r="D25" s="48" t="str">
        <f ca="1">IFERROR(INDEX('Gantt Cutover'!$B$6:$B$63,MATCH(12,'Gantt Cutover'!$AY$6:$AY$63,0)),"")</f>
        <v/>
      </c>
      <c r="E25" s="49" t="str">
        <f ca="1">IFERROR(INDEX('Gantt Cutover'!$C$6:$C$63,MATCH(12,'Gantt Cutover'!$AY$6:$AY$63,0)),"")</f>
        <v/>
      </c>
      <c r="F25" s="49" t="str">
        <f ca="1">IFERROR(INDEX('Gantt Cutover'!$G$6:$G$63,MATCH(12,'Gantt Cutover'!$AY$6:$AY$63,0)),"")</f>
        <v/>
      </c>
      <c r="G25" s="49" t="str">
        <f ca="1">IFERROR(INDEX('Equipo y Calendario'!$B$5:$B$24,MATCH(F25,'Equipo y Calendario'!$A$5:$A$24,0)),"")</f>
        <v/>
      </c>
      <c r="H25" s="49" t="str">
        <f ca="1">IFERROR(INDEX('Gantt Cutover'!$H$6:$H$63,MATCH(12,'Gantt Cutover'!$AY$6:$AY$63,0)),"")</f>
        <v/>
      </c>
      <c r="I25" s="49" t="str">
        <f ca="1">IFERROR(INDEX('Gantt Cutover'!$I$6:$I$63,MATCH(12,'Gantt Cutover'!$AY$6:$AY$63,0)),"")</f>
        <v/>
      </c>
      <c r="J25" s="50" t="str">
        <f ca="1">IFERROR(INDEX('Gantt Cutover'!$J$6:$J$63,MATCH(12,'Gantt Cutover'!$AY$6:$AY$63,0)),"")</f>
        <v/>
      </c>
      <c r="K25" s="50" t="str">
        <f ca="1">IFERROR(INDEX('Gantt Cutover'!$K$6:$K$63,MATCH(12,'Gantt Cutover'!$AY$6:$AY$63,0)),"")</f>
        <v/>
      </c>
      <c r="L25" s="48" t="str">
        <f ca="1">IFERROR(INDEX('Gantt Cutover'!$M$6:$M$63,MATCH(12,'Gantt Cutover'!$AY$6:$AY$63,0)),"")</f>
        <v/>
      </c>
    </row>
    <row r="26" spans="2:12" ht="27.75" customHeight="1" x14ac:dyDescent="0.3">
      <c r="B26" s="47">
        <v>13</v>
      </c>
      <c r="C26" s="48" t="str">
        <f ca="1">IFERROR(INDEX('Gantt Cutover'!$A$6:$A$63,MATCH(13,'Gantt Cutover'!$AY$6:$AY$63,0)),"")</f>
        <v/>
      </c>
      <c r="D26" s="48" t="str">
        <f ca="1">IFERROR(INDEX('Gantt Cutover'!$B$6:$B$63,MATCH(13,'Gantt Cutover'!$AY$6:$AY$63,0)),"")</f>
        <v/>
      </c>
      <c r="E26" s="49" t="str">
        <f ca="1">IFERROR(INDEX('Gantt Cutover'!$C$6:$C$63,MATCH(13,'Gantt Cutover'!$AY$6:$AY$63,0)),"")</f>
        <v/>
      </c>
      <c r="F26" s="49" t="str">
        <f ca="1">IFERROR(INDEX('Gantt Cutover'!$G$6:$G$63,MATCH(13,'Gantt Cutover'!$AY$6:$AY$63,0)),"")</f>
        <v/>
      </c>
      <c r="G26" s="49" t="str">
        <f ca="1">IFERROR(INDEX('Equipo y Calendario'!$B$5:$B$24,MATCH(F26,'Equipo y Calendario'!$A$5:$A$24,0)),"")</f>
        <v/>
      </c>
      <c r="H26" s="49" t="str">
        <f ca="1">IFERROR(INDEX('Gantt Cutover'!$H$6:$H$63,MATCH(13,'Gantt Cutover'!$AY$6:$AY$63,0)),"")</f>
        <v/>
      </c>
      <c r="I26" s="49" t="str">
        <f ca="1">IFERROR(INDEX('Gantt Cutover'!$I$6:$I$63,MATCH(13,'Gantt Cutover'!$AY$6:$AY$63,0)),"")</f>
        <v/>
      </c>
      <c r="J26" s="50" t="str">
        <f ca="1">IFERROR(INDEX('Gantt Cutover'!$J$6:$J$63,MATCH(13,'Gantt Cutover'!$AY$6:$AY$63,0)),"")</f>
        <v/>
      </c>
      <c r="K26" s="50" t="str">
        <f ca="1">IFERROR(INDEX('Gantt Cutover'!$K$6:$K$63,MATCH(13,'Gantt Cutover'!$AY$6:$AY$63,0)),"")</f>
        <v/>
      </c>
      <c r="L26" s="48" t="str">
        <f ca="1">IFERROR(INDEX('Gantt Cutover'!$M$6:$M$63,MATCH(13,'Gantt Cutover'!$AY$6:$AY$63,0)),"")</f>
        <v/>
      </c>
    </row>
    <row r="27" spans="2:12" ht="27.75" customHeight="1" x14ac:dyDescent="0.3">
      <c r="B27" s="47">
        <v>14</v>
      </c>
      <c r="C27" s="48" t="str">
        <f ca="1">IFERROR(INDEX('Gantt Cutover'!$A$6:$A$63,MATCH(14,'Gantt Cutover'!$AY$6:$AY$63,0)),"")</f>
        <v/>
      </c>
      <c r="D27" s="48" t="str">
        <f ca="1">IFERROR(INDEX('Gantt Cutover'!$B$6:$B$63,MATCH(14,'Gantt Cutover'!$AY$6:$AY$63,0)),"")</f>
        <v/>
      </c>
      <c r="E27" s="49" t="str">
        <f ca="1">IFERROR(INDEX('Gantt Cutover'!$C$6:$C$63,MATCH(14,'Gantt Cutover'!$AY$6:$AY$63,0)),"")</f>
        <v/>
      </c>
      <c r="F27" s="49" t="str">
        <f ca="1">IFERROR(INDEX('Gantt Cutover'!$G$6:$G$63,MATCH(14,'Gantt Cutover'!$AY$6:$AY$63,0)),"")</f>
        <v/>
      </c>
      <c r="G27" s="49" t="str">
        <f ca="1">IFERROR(INDEX('Equipo y Calendario'!$B$5:$B$24,MATCH(F27,'Equipo y Calendario'!$A$5:$A$24,0)),"")</f>
        <v/>
      </c>
      <c r="H27" s="49" t="str">
        <f ca="1">IFERROR(INDEX('Gantt Cutover'!$H$6:$H$63,MATCH(14,'Gantt Cutover'!$AY$6:$AY$63,0)),"")</f>
        <v/>
      </c>
      <c r="I27" s="49" t="str">
        <f ca="1">IFERROR(INDEX('Gantt Cutover'!$I$6:$I$63,MATCH(14,'Gantt Cutover'!$AY$6:$AY$63,0)),"")</f>
        <v/>
      </c>
      <c r="J27" s="50" t="str">
        <f ca="1">IFERROR(INDEX('Gantt Cutover'!$J$6:$J$63,MATCH(14,'Gantt Cutover'!$AY$6:$AY$63,0)),"")</f>
        <v/>
      </c>
      <c r="K27" s="50" t="str">
        <f ca="1">IFERROR(INDEX('Gantt Cutover'!$K$6:$K$63,MATCH(14,'Gantt Cutover'!$AY$6:$AY$63,0)),"")</f>
        <v/>
      </c>
      <c r="L27" s="48" t="str">
        <f ca="1">IFERROR(INDEX('Gantt Cutover'!$M$6:$M$63,MATCH(14,'Gantt Cutover'!$AY$6:$AY$63,0)),"")</f>
        <v/>
      </c>
    </row>
    <row r="28" spans="2:12" ht="27.75" customHeight="1" x14ac:dyDescent="0.3">
      <c r="B28" s="47">
        <v>15</v>
      </c>
      <c r="C28" s="48" t="str">
        <f ca="1">IFERROR(INDEX('Gantt Cutover'!$A$6:$A$63,MATCH(15,'Gantt Cutover'!$AY$6:$AY$63,0)),"")</f>
        <v/>
      </c>
      <c r="D28" s="48" t="str">
        <f ca="1">IFERROR(INDEX('Gantt Cutover'!$B$6:$B$63,MATCH(15,'Gantt Cutover'!$AY$6:$AY$63,0)),"")</f>
        <v/>
      </c>
      <c r="E28" s="49" t="str">
        <f ca="1">IFERROR(INDEX('Gantt Cutover'!$C$6:$C$63,MATCH(15,'Gantt Cutover'!$AY$6:$AY$63,0)),"")</f>
        <v/>
      </c>
      <c r="F28" s="49" t="str">
        <f ca="1">IFERROR(INDEX('Gantt Cutover'!$G$6:$G$63,MATCH(15,'Gantt Cutover'!$AY$6:$AY$63,0)),"")</f>
        <v/>
      </c>
      <c r="G28" s="49" t="str">
        <f ca="1">IFERROR(INDEX('Equipo y Calendario'!$B$5:$B$24,MATCH(F28,'Equipo y Calendario'!$A$5:$A$24,0)),"")</f>
        <v/>
      </c>
      <c r="H28" s="49" t="str">
        <f ca="1">IFERROR(INDEX('Gantt Cutover'!$H$6:$H$63,MATCH(15,'Gantt Cutover'!$AY$6:$AY$63,0)),"")</f>
        <v/>
      </c>
      <c r="I28" s="49" t="str">
        <f ca="1">IFERROR(INDEX('Gantt Cutover'!$I$6:$I$63,MATCH(15,'Gantt Cutover'!$AY$6:$AY$63,0)),"")</f>
        <v/>
      </c>
      <c r="J28" s="50" t="str">
        <f ca="1">IFERROR(INDEX('Gantt Cutover'!$J$6:$J$63,MATCH(15,'Gantt Cutover'!$AY$6:$AY$63,0)),"")</f>
        <v/>
      </c>
      <c r="K28" s="50" t="str">
        <f ca="1">IFERROR(INDEX('Gantt Cutover'!$K$6:$K$63,MATCH(15,'Gantt Cutover'!$AY$6:$AY$63,0)),"")</f>
        <v/>
      </c>
      <c r="L28" s="48" t="str">
        <f ca="1">IFERROR(INDEX('Gantt Cutover'!$M$6:$M$63,MATCH(15,'Gantt Cutover'!$AY$6:$AY$63,0)),"")</f>
        <v/>
      </c>
    </row>
    <row r="29" spans="2:12" ht="27.75" customHeight="1" x14ac:dyDescent="0.3">
      <c r="B29" s="47">
        <v>16</v>
      </c>
      <c r="C29" s="48" t="str">
        <f ca="1">IFERROR(INDEX('Gantt Cutover'!$A$6:$A$63,MATCH(16,'Gantt Cutover'!$AY$6:$AY$63,0)),"")</f>
        <v/>
      </c>
      <c r="D29" s="48" t="str">
        <f ca="1">IFERROR(INDEX('Gantt Cutover'!$B$6:$B$63,MATCH(16,'Gantt Cutover'!$AY$6:$AY$63,0)),"")</f>
        <v/>
      </c>
      <c r="E29" s="49" t="str">
        <f ca="1">IFERROR(INDEX('Gantt Cutover'!$C$6:$C$63,MATCH(16,'Gantt Cutover'!$AY$6:$AY$63,0)),"")</f>
        <v/>
      </c>
      <c r="F29" s="49" t="str">
        <f ca="1">IFERROR(INDEX('Gantt Cutover'!$G$6:$G$63,MATCH(16,'Gantt Cutover'!$AY$6:$AY$63,0)),"")</f>
        <v/>
      </c>
      <c r="G29" s="49" t="str">
        <f ca="1">IFERROR(INDEX('Equipo y Calendario'!$B$5:$B$24,MATCH(F29,'Equipo y Calendario'!$A$5:$A$24,0)),"")</f>
        <v/>
      </c>
      <c r="H29" s="49" t="str">
        <f ca="1">IFERROR(INDEX('Gantt Cutover'!$H$6:$H$63,MATCH(16,'Gantt Cutover'!$AY$6:$AY$63,0)),"")</f>
        <v/>
      </c>
      <c r="I29" s="49" t="str">
        <f ca="1">IFERROR(INDEX('Gantt Cutover'!$I$6:$I$63,MATCH(16,'Gantt Cutover'!$AY$6:$AY$63,0)),"")</f>
        <v/>
      </c>
      <c r="J29" s="50" t="str">
        <f ca="1">IFERROR(INDEX('Gantt Cutover'!$J$6:$J$63,MATCH(16,'Gantt Cutover'!$AY$6:$AY$63,0)),"")</f>
        <v/>
      </c>
      <c r="K29" s="50" t="str">
        <f ca="1">IFERROR(INDEX('Gantt Cutover'!$K$6:$K$63,MATCH(16,'Gantt Cutover'!$AY$6:$AY$63,0)),"")</f>
        <v/>
      </c>
      <c r="L29" s="48" t="str">
        <f ca="1">IFERROR(INDEX('Gantt Cutover'!$M$6:$M$63,MATCH(16,'Gantt Cutover'!$AY$6:$AY$63,0)),"")</f>
        <v/>
      </c>
    </row>
    <row r="30" spans="2:12" ht="27.75" customHeight="1" x14ac:dyDescent="0.3">
      <c r="B30" s="47">
        <v>17</v>
      </c>
      <c r="C30" s="48" t="str">
        <f ca="1">IFERROR(INDEX('Gantt Cutover'!$A$6:$A$63,MATCH(17,'Gantt Cutover'!$AY$6:$AY$63,0)),"")</f>
        <v/>
      </c>
      <c r="D30" s="48" t="str">
        <f ca="1">IFERROR(INDEX('Gantt Cutover'!$B$6:$B$63,MATCH(17,'Gantt Cutover'!$AY$6:$AY$63,0)),"")</f>
        <v/>
      </c>
      <c r="E30" s="49" t="str">
        <f ca="1">IFERROR(INDEX('Gantt Cutover'!$C$6:$C$63,MATCH(17,'Gantt Cutover'!$AY$6:$AY$63,0)),"")</f>
        <v/>
      </c>
      <c r="F30" s="49" t="str">
        <f ca="1">IFERROR(INDEX('Gantt Cutover'!$G$6:$G$63,MATCH(17,'Gantt Cutover'!$AY$6:$AY$63,0)),"")</f>
        <v/>
      </c>
      <c r="G30" s="49" t="str">
        <f ca="1">IFERROR(INDEX('Equipo y Calendario'!$B$5:$B$24,MATCH(F30,'Equipo y Calendario'!$A$5:$A$24,0)),"")</f>
        <v/>
      </c>
      <c r="H30" s="49" t="str">
        <f ca="1">IFERROR(INDEX('Gantt Cutover'!$H$6:$H$63,MATCH(17,'Gantt Cutover'!$AY$6:$AY$63,0)),"")</f>
        <v/>
      </c>
      <c r="I30" s="49" t="str">
        <f ca="1">IFERROR(INDEX('Gantt Cutover'!$I$6:$I$63,MATCH(17,'Gantt Cutover'!$AY$6:$AY$63,0)),"")</f>
        <v/>
      </c>
      <c r="J30" s="50" t="str">
        <f ca="1">IFERROR(INDEX('Gantt Cutover'!$J$6:$J$63,MATCH(17,'Gantt Cutover'!$AY$6:$AY$63,0)),"")</f>
        <v/>
      </c>
      <c r="K30" s="50" t="str">
        <f ca="1">IFERROR(INDEX('Gantt Cutover'!$K$6:$K$63,MATCH(17,'Gantt Cutover'!$AY$6:$AY$63,0)),"")</f>
        <v/>
      </c>
      <c r="L30" s="48" t="str">
        <f ca="1">IFERROR(INDEX('Gantt Cutover'!$M$6:$M$63,MATCH(17,'Gantt Cutover'!$AY$6:$AY$63,0)),"")</f>
        <v/>
      </c>
    </row>
    <row r="31" spans="2:12" ht="27.75" customHeight="1" x14ac:dyDescent="0.3">
      <c r="B31" s="47">
        <v>18</v>
      </c>
      <c r="C31" s="48" t="str">
        <f ca="1">IFERROR(INDEX('Gantt Cutover'!$A$6:$A$63,MATCH(18,'Gantt Cutover'!$AY$6:$AY$63,0)),"")</f>
        <v/>
      </c>
      <c r="D31" s="48" t="str">
        <f ca="1">IFERROR(INDEX('Gantt Cutover'!$B$6:$B$63,MATCH(18,'Gantt Cutover'!$AY$6:$AY$63,0)),"")</f>
        <v/>
      </c>
      <c r="E31" s="49" t="str">
        <f ca="1">IFERROR(INDEX('Gantt Cutover'!$C$6:$C$63,MATCH(18,'Gantt Cutover'!$AY$6:$AY$63,0)),"")</f>
        <v/>
      </c>
      <c r="F31" s="49" t="str">
        <f ca="1">IFERROR(INDEX('Gantt Cutover'!$G$6:$G$63,MATCH(18,'Gantt Cutover'!$AY$6:$AY$63,0)),"")</f>
        <v/>
      </c>
      <c r="G31" s="49" t="str">
        <f ca="1">IFERROR(INDEX('Equipo y Calendario'!$B$5:$B$24,MATCH(F31,'Equipo y Calendario'!$A$5:$A$24,0)),"")</f>
        <v/>
      </c>
      <c r="H31" s="49" t="str">
        <f ca="1">IFERROR(INDEX('Gantt Cutover'!$H$6:$H$63,MATCH(18,'Gantt Cutover'!$AY$6:$AY$63,0)),"")</f>
        <v/>
      </c>
      <c r="I31" s="49" t="str">
        <f ca="1">IFERROR(INDEX('Gantt Cutover'!$I$6:$I$63,MATCH(18,'Gantt Cutover'!$AY$6:$AY$63,0)),"")</f>
        <v/>
      </c>
      <c r="J31" s="50" t="str">
        <f ca="1">IFERROR(INDEX('Gantt Cutover'!$J$6:$J$63,MATCH(18,'Gantt Cutover'!$AY$6:$AY$63,0)),"")</f>
        <v/>
      </c>
      <c r="K31" s="50" t="str">
        <f ca="1">IFERROR(INDEX('Gantt Cutover'!$K$6:$K$63,MATCH(18,'Gantt Cutover'!$AY$6:$AY$63,0)),"")</f>
        <v/>
      </c>
      <c r="L31" s="48" t="str">
        <f ca="1">IFERROR(INDEX('Gantt Cutover'!$M$6:$M$63,MATCH(18,'Gantt Cutover'!$AY$6:$AY$63,0)),"")</f>
        <v/>
      </c>
    </row>
    <row r="32" spans="2:12" ht="27.75" customHeight="1" x14ac:dyDescent="0.3">
      <c r="B32" s="47">
        <v>19</v>
      </c>
      <c r="C32" s="48" t="str">
        <f ca="1">IFERROR(INDEX('Gantt Cutover'!$A$6:$A$63,MATCH(19,'Gantt Cutover'!$AY$6:$AY$63,0)),"")</f>
        <v/>
      </c>
      <c r="D32" s="48" t="str">
        <f ca="1">IFERROR(INDEX('Gantt Cutover'!$B$6:$B$63,MATCH(19,'Gantt Cutover'!$AY$6:$AY$63,0)),"")</f>
        <v/>
      </c>
      <c r="E32" s="49" t="str">
        <f ca="1">IFERROR(INDEX('Gantt Cutover'!$C$6:$C$63,MATCH(19,'Gantt Cutover'!$AY$6:$AY$63,0)),"")</f>
        <v/>
      </c>
      <c r="F32" s="49" t="str">
        <f ca="1">IFERROR(INDEX('Gantt Cutover'!$G$6:$G$63,MATCH(19,'Gantt Cutover'!$AY$6:$AY$63,0)),"")</f>
        <v/>
      </c>
      <c r="G32" s="49" t="str">
        <f ca="1">IFERROR(INDEX('Equipo y Calendario'!$B$5:$B$24,MATCH(F32,'Equipo y Calendario'!$A$5:$A$24,0)),"")</f>
        <v/>
      </c>
      <c r="H32" s="49" t="str">
        <f ca="1">IFERROR(INDEX('Gantt Cutover'!$H$6:$H$63,MATCH(19,'Gantt Cutover'!$AY$6:$AY$63,0)),"")</f>
        <v/>
      </c>
      <c r="I32" s="49" t="str">
        <f ca="1">IFERROR(INDEX('Gantt Cutover'!$I$6:$I$63,MATCH(19,'Gantt Cutover'!$AY$6:$AY$63,0)),"")</f>
        <v/>
      </c>
      <c r="J32" s="50" t="str">
        <f ca="1">IFERROR(INDEX('Gantt Cutover'!$J$6:$J$63,MATCH(19,'Gantt Cutover'!$AY$6:$AY$63,0)),"")</f>
        <v/>
      </c>
      <c r="K32" s="50" t="str">
        <f ca="1">IFERROR(INDEX('Gantt Cutover'!$K$6:$K$63,MATCH(19,'Gantt Cutover'!$AY$6:$AY$63,0)),"")</f>
        <v/>
      </c>
      <c r="L32" s="48" t="str">
        <f ca="1">IFERROR(INDEX('Gantt Cutover'!$M$6:$M$63,MATCH(19,'Gantt Cutover'!$AY$6:$AY$63,0)),"")</f>
        <v/>
      </c>
    </row>
    <row r="33" spans="2:12" ht="27.75" customHeight="1" x14ac:dyDescent="0.3">
      <c r="B33" s="47">
        <v>20</v>
      </c>
      <c r="C33" s="48" t="str">
        <f ca="1">IFERROR(INDEX('Gantt Cutover'!$A$6:$A$63,MATCH(20,'Gantt Cutover'!$AY$6:$AY$63,0)),"")</f>
        <v/>
      </c>
      <c r="D33" s="48" t="str">
        <f ca="1">IFERROR(INDEX('Gantt Cutover'!$B$6:$B$63,MATCH(20,'Gantt Cutover'!$AY$6:$AY$63,0)),"")</f>
        <v/>
      </c>
      <c r="E33" s="49" t="str">
        <f ca="1">IFERROR(INDEX('Gantt Cutover'!$C$6:$C$63,MATCH(20,'Gantt Cutover'!$AY$6:$AY$63,0)),"")</f>
        <v/>
      </c>
      <c r="F33" s="49" t="str">
        <f ca="1">IFERROR(INDEX('Gantt Cutover'!$G$6:$G$63,MATCH(20,'Gantt Cutover'!$AY$6:$AY$63,0)),"")</f>
        <v/>
      </c>
      <c r="G33" s="49" t="str">
        <f ca="1">IFERROR(INDEX('Equipo y Calendario'!$B$5:$B$24,MATCH(F33,'Equipo y Calendario'!$A$5:$A$24,0)),"")</f>
        <v/>
      </c>
      <c r="H33" s="49" t="str">
        <f ca="1">IFERROR(INDEX('Gantt Cutover'!$H$6:$H$63,MATCH(20,'Gantt Cutover'!$AY$6:$AY$63,0)),"")</f>
        <v/>
      </c>
      <c r="I33" s="49" t="str">
        <f ca="1">IFERROR(INDEX('Gantt Cutover'!$I$6:$I$63,MATCH(20,'Gantt Cutover'!$AY$6:$AY$63,0)),"")</f>
        <v/>
      </c>
      <c r="J33" s="50" t="str">
        <f ca="1">IFERROR(INDEX('Gantt Cutover'!$J$6:$J$63,MATCH(20,'Gantt Cutover'!$AY$6:$AY$63,0)),"")</f>
        <v/>
      </c>
      <c r="K33" s="50" t="str">
        <f ca="1">IFERROR(INDEX('Gantt Cutover'!$K$6:$K$63,MATCH(20,'Gantt Cutover'!$AY$6:$AY$63,0)),"")</f>
        <v/>
      </c>
      <c r="L33" s="48" t="str">
        <f ca="1">IFERROR(INDEX('Gantt Cutover'!$M$6:$M$63,MATCH(20,'Gantt Cutover'!$AY$6:$AY$63,0)),"")</f>
        <v/>
      </c>
    </row>
    <row r="34" spans="2:12" ht="27.75" customHeight="1" x14ac:dyDescent="0.3">
      <c r="B34" s="47">
        <v>21</v>
      </c>
      <c r="C34" s="48" t="str">
        <f ca="1">IFERROR(INDEX('Gantt Cutover'!$A$6:$A$63,MATCH(21,'Gantt Cutover'!$AY$6:$AY$63,0)),"")</f>
        <v/>
      </c>
      <c r="D34" s="48" t="str">
        <f ca="1">IFERROR(INDEX('Gantt Cutover'!$B$6:$B$63,MATCH(21,'Gantt Cutover'!$AY$6:$AY$63,0)),"")</f>
        <v/>
      </c>
      <c r="E34" s="49" t="str">
        <f ca="1">IFERROR(INDEX('Gantt Cutover'!$C$6:$C$63,MATCH(21,'Gantt Cutover'!$AY$6:$AY$63,0)),"")</f>
        <v/>
      </c>
      <c r="F34" s="49" t="str">
        <f ca="1">IFERROR(INDEX('Gantt Cutover'!$G$6:$G$63,MATCH(21,'Gantt Cutover'!$AY$6:$AY$63,0)),"")</f>
        <v/>
      </c>
      <c r="G34" s="49" t="str">
        <f ca="1">IFERROR(INDEX('Equipo y Calendario'!$B$5:$B$24,MATCH(F34,'Equipo y Calendario'!$A$5:$A$24,0)),"")</f>
        <v/>
      </c>
      <c r="H34" s="49" t="str">
        <f ca="1">IFERROR(INDEX('Gantt Cutover'!$H$6:$H$63,MATCH(21,'Gantt Cutover'!$AY$6:$AY$63,0)),"")</f>
        <v/>
      </c>
      <c r="I34" s="49" t="str">
        <f ca="1">IFERROR(INDEX('Gantt Cutover'!$I$6:$I$63,MATCH(21,'Gantt Cutover'!$AY$6:$AY$63,0)),"")</f>
        <v/>
      </c>
      <c r="J34" s="50" t="str">
        <f ca="1">IFERROR(INDEX('Gantt Cutover'!$J$6:$J$63,MATCH(21,'Gantt Cutover'!$AY$6:$AY$63,0)),"")</f>
        <v/>
      </c>
      <c r="K34" s="50" t="str">
        <f ca="1">IFERROR(INDEX('Gantt Cutover'!$K$6:$K$63,MATCH(21,'Gantt Cutover'!$AY$6:$AY$63,0)),"")</f>
        <v/>
      </c>
      <c r="L34" s="48" t="str">
        <f ca="1">IFERROR(INDEX('Gantt Cutover'!$M$6:$M$63,MATCH(21,'Gantt Cutover'!$AY$6:$AY$63,0)),"")</f>
        <v/>
      </c>
    </row>
    <row r="35" spans="2:12" ht="27.75" customHeight="1" x14ac:dyDescent="0.3">
      <c r="B35" s="47">
        <v>22</v>
      </c>
      <c r="C35" s="48" t="str">
        <f ca="1">IFERROR(INDEX('Gantt Cutover'!$A$6:$A$63,MATCH(22,'Gantt Cutover'!$AY$6:$AY$63,0)),"")</f>
        <v/>
      </c>
      <c r="D35" s="48" t="str">
        <f ca="1">IFERROR(INDEX('Gantt Cutover'!$B$6:$B$63,MATCH(22,'Gantt Cutover'!$AY$6:$AY$63,0)),"")</f>
        <v/>
      </c>
      <c r="E35" s="49" t="str">
        <f ca="1">IFERROR(INDEX('Gantt Cutover'!$C$6:$C$63,MATCH(22,'Gantt Cutover'!$AY$6:$AY$63,0)),"")</f>
        <v/>
      </c>
      <c r="F35" s="49" t="str">
        <f ca="1">IFERROR(INDEX('Gantt Cutover'!$G$6:$G$63,MATCH(22,'Gantt Cutover'!$AY$6:$AY$63,0)),"")</f>
        <v/>
      </c>
      <c r="G35" s="49" t="str">
        <f ca="1">IFERROR(INDEX('Equipo y Calendario'!$B$5:$B$24,MATCH(F35,'Equipo y Calendario'!$A$5:$A$24,0)),"")</f>
        <v/>
      </c>
      <c r="H35" s="49" t="str">
        <f ca="1">IFERROR(INDEX('Gantt Cutover'!$H$6:$H$63,MATCH(22,'Gantt Cutover'!$AY$6:$AY$63,0)),"")</f>
        <v/>
      </c>
      <c r="I35" s="49" t="str">
        <f ca="1">IFERROR(INDEX('Gantt Cutover'!$I$6:$I$63,MATCH(22,'Gantt Cutover'!$AY$6:$AY$63,0)),"")</f>
        <v/>
      </c>
      <c r="J35" s="50" t="str">
        <f ca="1">IFERROR(INDEX('Gantt Cutover'!$J$6:$J$63,MATCH(22,'Gantt Cutover'!$AY$6:$AY$63,0)),"")</f>
        <v/>
      </c>
      <c r="K35" s="50" t="str">
        <f ca="1">IFERROR(INDEX('Gantt Cutover'!$K$6:$K$63,MATCH(22,'Gantt Cutover'!$AY$6:$AY$63,0)),"")</f>
        <v/>
      </c>
      <c r="L35" s="48" t="str">
        <f ca="1">IFERROR(INDEX('Gantt Cutover'!$M$6:$M$63,MATCH(22,'Gantt Cutover'!$AY$6:$AY$63,0)),"")</f>
        <v/>
      </c>
    </row>
    <row r="36" spans="2:12" ht="27.75" customHeight="1" x14ac:dyDescent="0.3">
      <c r="B36" s="47">
        <v>23</v>
      </c>
      <c r="C36" s="48" t="str">
        <f ca="1">IFERROR(INDEX('Gantt Cutover'!$A$6:$A$63,MATCH(23,'Gantt Cutover'!$AY$6:$AY$63,0)),"")</f>
        <v/>
      </c>
      <c r="D36" s="48" t="str">
        <f ca="1">IFERROR(INDEX('Gantt Cutover'!$B$6:$B$63,MATCH(23,'Gantt Cutover'!$AY$6:$AY$63,0)),"")</f>
        <v/>
      </c>
      <c r="E36" s="49" t="str">
        <f ca="1">IFERROR(INDEX('Gantt Cutover'!$C$6:$C$63,MATCH(23,'Gantt Cutover'!$AY$6:$AY$63,0)),"")</f>
        <v/>
      </c>
      <c r="F36" s="49" t="str">
        <f ca="1">IFERROR(INDEX('Gantt Cutover'!$G$6:$G$63,MATCH(23,'Gantt Cutover'!$AY$6:$AY$63,0)),"")</f>
        <v/>
      </c>
      <c r="G36" s="49" t="str">
        <f ca="1">IFERROR(INDEX('Equipo y Calendario'!$B$5:$B$24,MATCH(F36,'Equipo y Calendario'!$A$5:$A$24,0)),"")</f>
        <v/>
      </c>
      <c r="H36" s="49" t="str">
        <f ca="1">IFERROR(INDEX('Gantt Cutover'!$H$6:$H$63,MATCH(23,'Gantt Cutover'!$AY$6:$AY$63,0)),"")</f>
        <v/>
      </c>
      <c r="I36" s="49" t="str">
        <f ca="1">IFERROR(INDEX('Gantt Cutover'!$I$6:$I$63,MATCH(23,'Gantt Cutover'!$AY$6:$AY$63,0)),"")</f>
        <v/>
      </c>
      <c r="J36" s="50" t="str">
        <f ca="1">IFERROR(INDEX('Gantt Cutover'!$J$6:$J$63,MATCH(23,'Gantt Cutover'!$AY$6:$AY$63,0)),"")</f>
        <v/>
      </c>
      <c r="K36" s="50" t="str">
        <f ca="1">IFERROR(INDEX('Gantt Cutover'!$K$6:$K$63,MATCH(23,'Gantt Cutover'!$AY$6:$AY$63,0)),"")</f>
        <v/>
      </c>
      <c r="L36" s="48" t="str">
        <f ca="1">IFERROR(INDEX('Gantt Cutover'!$M$6:$M$63,MATCH(23,'Gantt Cutover'!$AY$6:$AY$63,0)),"")</f>
        <v/>
      </c>
    </row>
    <row r="37" spans="2:12" ht="27.75" customHeight="1" x14ac:dyDescent="0.3">
      <c r="B37" s="47">
        <v>24</v>
      </c>
      <c r="C37" s="48" t="str">
        <f ca="1">IFERROR(INDEX('Gantt Cutover'!$A$6:$A$63,MATCH(24,'Gantt Cutover'!$AY$6:$AY$63,0)),"")</f>
        <v/>
      </c>
      <c r="D37" s="48" t="str">
        <f ca="1">IFERROR(INDEX('Gantt Cutover'!$B$6:$B$63,MATCH(24,'Gantt Cutover'!$AY$6:$AY$63,0)),"")</f>
        <v/>
      </c>
      <c r="E37" s="49" t="str">
        <f ca="1">IFERROR(INDEX('Gantt Cutover'!$C$6:$C$63,MATCH(24,'Gantt Cutover'!$AY$6:$AY$63,0)),"")</f>
        <v/>
      </c>
      <c r="F37" s="49" t="str">
        <f ca="1">IFERROR(INDEX('Gantt Cutover'!$G$6:$G$63,MATCH(24,'Gantt Cutover'!$AY$6:$AY$63,0)),"")</f>
        <v/>
      </c>
      <c r="G37" s="49" t="str">
        <f ca="1">IFERROR(INDEX('Equipo y Calendario'!$B$5:$B$24,MATCH(F37,'Equipo y Calendario'!$A$5:$A$24,0)),"")</f>
        <v/>
      </c>
      <c r="H37" s="49" t="str">
        <f ca="1">IFERROR(INDEX('Gantt Cutover'!$H$6:$H$63,MATCH(24,'Gantt Cutover'!$AY$6:$AY$63,0)),"")</f>
        <v/>
      </c>
      <c r="I37" s="49" t="str">
        <f ca="1">IFERROR(INDEX('Gantt Cutover'!$I$6:$I$63,MATCH(24,'Gantt Cutover'!$AY$6:$AY$63,0)),"")</f>
        <v/>
      </c>
      <c r="J37" s="50" t="str">
        <f ca="1">IFERROR(INDEX('Gantt Cutover'!$J$6:$J$63,MATCH(24,'Gantt Cutover'!$AY$6:$AY$63,0)),"")</f>
        <v/>
      </c>
      <c r="K37" s="50" t="str">
        <f ca="1">IFERROR(INDEX('Gantt Cutover'!$K$6:$K$63,MATCH(24,'Gantt Cutover'!$AY$6:$AY$63,0)),"")</f>
        <v/>
      </c>
      <c r="L37" s="48" t="str">
        <f ca="1">IFERROR(INDEX('Gantt Cutover'!$M$6:$M$63,MATCH(24,'Gantt Cutover'!$AY$6:$AY$63,0)),"")</f>
        <v/>
      </c>
    </row>
    <row r="38" spans="2:12" ht="27.75" customHeight="1" x14ac:dyDescent="0.3">
      <c r="B38" s="47">
        <v>25</v>
      </c>
      <c r="C38" s="48" t="str">
        <f ca="1">IFERROR(INDEX('Gantt Cutover'!$A$6:$A$63,MATCH(25,'Gantt Cutover'!$AY$6:$AY$63,0)),"")</f>
        <v/>
      </c>
      <c r="D38" s="48" t="str">
        <f ca="1">IFERROR(INDEX('Gantt Cutover'!$B$6:$B$63,MATCH(25,'Gantt Cutover'!$AY$6:$AY$63,0)),"")</f>
        <v/>
      </c>
      <c r="E38" s="49" t="str">
        <f ca="1">IFERROR(INDEX('Gantt Cutover'!$C$6:$C$63,MATCH(25,'Gantt Cutover'!$AY$6:$AY$63,0)),"")</f>
        <v/>
      </c>
      <c r="F38" s="49" t="str">
        <f ca="1">IFERROR(INDEX('Gantt Cutover'!$G$6:$G$63,MATCH(25,'Gantt Cutover'!$AY$6:$AY$63,0)),"")</f>
        <v/>
      </c>
      <c r="G38" s="49" t="str">
        <f ca="1">IFERROR(INDEX('Equipo y Calendario'!$B$5:$B$24,MATCH(F38,'Equipo y Calendario'!$A$5:$A$24,0)),"")</f>
        <v/>
      </c>
      <c r="H38" s="49" t="str">
        <f ca="1">IFERROR(INDEX('Gantt Cutover'!$H$6:$H$63,MATCH(25,'Gantt Cutover'!$AY$6:$AY$63,0)),"")</f>
        <v/>
      </c>
      <c r="I38" s="49" t="str">
        <f ca="1">IFERROR(INDEX('Gantt Cutover'!$I$6:$I$63,MATCH(25,'Gantt Cutover'!$AY$6:$AY$63,0)),"")</f>
        <v/>
      </c>
      <c r="J38" s="50" t="str">
        <f ca="1">IFERROR(INDEX('Gantt Cutover'!$J$6:$J$63,MATCH(25,'Gantt Cutover'!$AY$6:$AY$63,0)),"")</f>
        <v/>
      </c>
      <c r="K38" s="50" t="str">
        <f ca="1">IFERROR(INDEX('Gantt Cutover'!$K$6:$K$63,MATCH(25,'Gantt Cutover'!$AY$6:$AY$63,0)),"")</f>
        <v/>
      </c>
      <c r="L38" s="48" t="str">
        <f ca="1">IFERROR(INDEX('Gantt Cutover'!$M$6:$M$63,MATCH(25,'Gantt Cutover'!$AY$6:$AY$63,0)),"")</f>
        <v/>
      </c>
    </row>
    <row r="39" spans="2:12" ht="27.75" customHeight="1" x14ac:dyDescent="0.3">
      <c r="B39" s="47">
        <v>26</v>
      </c>
      <c r="C39" s="48" t="str">
        <f ca="1">IFERROR(INDEX('Gantt Cutover'!$A$6:$A$63,MATCH(26,'Gantt Cutover'!$AY$6:$AY$63,0)),"")</f>
        <v/>
      </c>
      <c r="D39" s="48" t="str">
        <f ca="1">IFERROR(INDEX('Gantt Cutover'!$B$6:$B$63,MATCH(26,'Gantt Cutover'!$AY$6:$AY$63,0)),"")</f>
        <v/>
      </c>
      <c r="E39" s="49" t="str">
        <f ca="1">IFERROR(INDEX('Gantt Cutover'!$C$6:$C$63,MATCH(26,'Gantt Cutover'!$AY$6:$AY$63,0)),"")</f>
        <v/>
      </c>
      <c r="F39" s="49" t="str">
        <f ca="1">IFERROR(INDEX('Gantt Cutover'!$G$6:$G$63,MATCH(26,'Gantt Cutover'!$AY$6:$AY$63,0)),"")</f>
        <v/>
      </c>
      <c r="G39" s="49" t="str">
        <f ca="1">IFERROR(INDEX('Equipo y Calendario'!$B$5:$B$24,MATCH(F39,'Equipo y Calendario'!$A$5:$A$24,0)),"")</f>
        <v/>
      </c>
      <c r="H39" s="49" t="str">
        <f ca="1">IFERROR(INDEX('Gantt Cutover'!$H$6:$H$63,MATCH(26,'Gantt Cutover'!$AY$6:$AY$63,0)),"")</f>
        <v/>
      </c>
      <c r="I39" s="49" t="str">
        <f ca="1">IFERROR(INDEX('Gantt Cutover'!$I$6:$I$63,MATCH(26,'Gantt Cutover'!$AY$6:$AY$63,0)),"")</f>
        <v/>
      </c>
      <c r="J39" s="50" t="str">
        <f ca="1">IFERROR(INDEX('Gantt Cutover'!$J$6:$J$63,MATCH(26,'Gantt Cutover'!$AY$6:$AY$63,0)),"")</f>
        <v/>
      </c>
      <c r="K39" s="50" t="str">
        <f ca="1">IFERROR(INDEX('Gantt Cutover'!$K$6:$K$63,MATCH(26,'Gantt Cutover'!$AY$6:$AY$63,0)),"")</f>
        <v/>
      </c>
      <c r="L39" s="48" t="str">
        <f ca="1">IFERROR(INDEX('Gantt Cutover'!$M$6:$M$63,MATCH(26,'Gantt Cutover'!$AY$6:$AY$63,0)),"")</f>
        <v/>
      </c>
    </row>
    <row r="40" spans="2:12" ht="27.75" customHeight="1" x14ac:dyDescent="0.3">
      <c r="B40" s="47">
        <v>27</v>
      </c>
      <c r="C40" s="48" t="str">
        <f ca="1">IFERROR(INDEX('Gantt Cutover'!$A$6:$A$63,MATCH(27,'Gantt Cutover'!$AY$6:$AY$63,0)),"")</f>
        <v/>
      </c>
      <c r="D40" s="48" t="str">
        <f ca="1">IFERROR(INDEX('Gantt Cutover'!$B$6:$B$63,MATCH(27,'Gantt Cutover'!$AY$6:$AY$63,0)),"")</f>
        <v/>
      </c>
      <c r="E40" s="49" t="str">
        <f ca="1">IFERROR(INDEX('Gantt Cutover'!$C$6:$C$63,MATCH(27,'Gantt Cutover'!$AY$6:$AY$63,0)),"")</f>
        <v/>
      </c>
      <c r="F40" s="49" t="str">
        <f ca="1">IFERROR(INDEX('Gantt Cutover'!$G$6:$G$63,MATCH(27,'Gantt Cutover'!$AY$6:$AY$63,0)),"")</f>
        <v/>
      </c>
      <c r="G40" s="49" t="str">
        <f ca="1">IFERROR(INDEX('Equipo y Calendario'!$B$5:$B$24,MATCH(F40,'Equipo y Calendario'!$A$5:$A$24,0)),"")</f>
        <v/>
      </c>
      <c r="H40" s="49" t="str">
        <f ca="1">IFERROR(INDEX('Gantt Cutover'!$H$6:$H$63,MATCH(27,'Gantt Cutover'!$AY$6:$AY$63,0)),"")</f>
        <v/>
      </c>
      <c r="I40" s="49" t="str">
        <f ca="1">IFERROR(INDEX('Gantt Cutover'!$I$6:$I$63,MATCH(27,'Gantt Cutover'!$AY$6:$AY$63,0)),"")</f>
        <v/>
      </c>
      <c r="J40" s="50" t="str">
        <f ca="1">IFERROR(INDEX('Gantt Cutover'!$J$6:$J$63,MATCH(27,'Gantt Cutover'!$AY$6:$AY$63,0)),"")</f>
        <v/>
      </c>
      <c r="K40" s="50" t="str">
        <f ca="1">IFERROR(INDEX('Gantt Cutover'!$K$6:$K$63,MATCH(27,'Gantt Cutover'!$AY$6:$AY$63,0)),"")</f>
        <v/>
      </c>
      <c r="L40" s="48" t="str">
        <f ca="1">IFERROR(INDEX('Gantt Cutover'!$M$6:$M$63,MATCH(27,'Gantt Cutover'!$AY$6:$AY$63,0)),"")</f>
        <v/>
      </c>
    </row>
    <row r="41" spans="2:12" ht="27.75" customHeight="1" x14ac:dyDescent="0.3">
      <c r="B41" s="47">
        <v>28</v>
      </c>
      <c r="C41" s="48" t="str">
        <f ca="1">IFERROR(INDEX('Gantt Cutover'!$A$6:$A$63,MATCH(28,'Gantt Cutover'!$AY$6:$AY$63,0)),"")</f>
        <v/>
      </c>
      <c r="D41" s="48" t="str">
        <f ca="1">IFERROR(INDEX('Gantt Cutover'!$B$6:$B$63,MATCH(28,'Gantt Cutover'!$AY$6:$AY$63,0)),"")</f>
        <v/>
      </c>
      <c r="E41" s="49" t="str">
        <f ca="1">IFERROR(INDEX('Gantt Cutover'!$C$6:$C$63,MATCH(28,'Gantt Cutover'!$AY$6:$AY$63,0)),"")</f>
        <v/>
      </c>
      <c r="F41" s="49" t="str">
        <f ca="1">IFERROR(INDEX('Gantt Cutover'!$G$6:$G$63,MATCH(28,'Gantt Cutover'!$AY$6:$AY$63,0)),"")</f>
        <v/>
      </c>
      <c r="G41" s="49" t="str">
        <f ca="1">IFERROR(INDEX('Equipo y Calendario'!$B$5:$B$24,MATCH(F41,'Equipo y Calendario'!$A$5:$A$24,0)),"")</f>
        <v/>
      </c>
      <c r="H41" s="49" t="str">
        <f ca="1">IFERROR(INDEX('Gantt Cutover'!$H$6:$H$63,MATCH(28,'Gantt Cutover'!$AY$6:$AY$63,0)),"")</f>
        <v/>
      </c>
      <c r="I41" s="49" t="str">
        <f ca="1">IFERROR(INDEX('Gantt Cutover'!$I$6:$I$63,MATCH(28,'Gantt Cutover'!$AY$6:$AY$63,0)),"")</f>
        <v/>
      </c>
      <c r="J41" s="50" t="str">
        <f ca="1">IFERROR(INDEX('Gantt Cutover'!$J$6:$J$63,MATCH(28,'Gantt Cutover'!$AY$6:$AY$63,0)),"")</f>
        <v/>
      </c>
      <c r="K41" s="50" t="str">
        <f ca="1">IFERROR(INDEX('Gantt Cutover'!$K$6:$K$63,MATCH(28,'Gantt Cutover'!$AY$6:$AY$63,0)),"")</f>
        <v/>
      </c>
      <c r="L41" s="48" t="str">
        <f ca="1">IFERROR(INDEX('Gantt Cutover'!$M$6:$M$63,MATCH(28,'Gantt Cutover'!$AY$6:$AY$63,0)),"")</f>
        <v/>
      </c>
    </row>
    <row r="42" spans="2:12" ht="27.75" customHeight="1" x14ac:dyDescent="0.3">
      <c r="B42" s="47">
        <v>29</v>
      </c>
      <c r="C42" s="48" t="str">
        <f ca="1">IFERROR(INDEX('Gantt Cutover'!$A$6:$A$63,MATCH(29,'Gantt Cutover'!$AY$6:$AY$63,0)),"")</f>
        <v/>
      </c>
      <c r="D42" s="48" t="str">
        <f ca="1">IFERROR(INDEX('Gantt Cutover'!$B$6:$B$63,MATCH(29,'Gantt Cutover'!$AY$6:$AY$63,0)),"")</f>
        <v/>
      </c>
      <c r="E42" s="49" t="str">
        <f ca="1">IFERROR(INDEX('Gantt Cutover'!$C$6:$C$63,MATCH(29,'Gantt Cutover'!$AY$6:$AY$63,0)),"")</f>
        <v/>
      </c>
      <c r="F42" s="49" t="str">
        <f ca="1">IFERROR(INDEX('Gantt Cutover'!$G$6:$G$63,MATCH(29,'Gantt Cutover'!$AY$6:$AY$63,0)),"")</f>
        <v/>
      </c>
      <c r="G42" s="49" t="str">
        <f ca="1">IFERROR(INDEX('Equipo y Calendario'!$B$5:$B$24,MATCH(F42,'Equipo y Calendario'!$A$5:$A$24,0)),"")</f>
        <v/>
      </c>
      <c r="H42" s="49" t="str">
        <f ca="1">IFERROR(INDEX('Gantt Cutover'!$H$6:$H$63,MATCH(29,'Gantt Cutover'!$AY$6:$AY$63,0)),"")</f>
        <v/>
      </c>
      <c r="I42" s="49" t="str">
        <f ca="1">IFERROR(INDEX('Gantt Cutover'!$I$6:$I$63,MATCH(29,'Gantt Cutover'!$AY$6:$AY$63,0)),"")</f>
        <v/>
      </c>
      <c r="J42" s="50" t="str">
        <f ca="1">IFERROR(INDEX('Gantt Cutover'!$J$6:$J$63,MATCH(29,'Gantt Cutover'!$AY$6:$AY$63,0)),"")</f>
        <v/>
      </c>
      <c r="K42" s="50" t="str">
        <f ca="1">IFERROR(INDEX('Gantt Cutover'!$K$6:$K$63,MATCH(29,'Gantt Cutover'!$AY$6:$AY$63,0)),"")</f>
        <v/>
      </c>
      <c r="L42" s="48" t="str">
        <f ca="1">IFERROR(INDEX('Gantt Cutover'!$M$6:$M$63,MATCH(29,'Gantt Cutover'!$AY$6:$AY$63,0)),"")</f>
        <v/>
      </c>
    </row>
    <row r="43" spans="2:12" ht="27.75" customHeight="1" x14ac:dyDescent="0.3">
      <c r="B43" s="47">
        <v>30</v>
      </c>
      <c r="C43" s="48" t="str">
        <f ca="1">IFERROR(INDEX('Gantt Cutover'!$A$6:$A$63,MATCH(30,'Gantt Cutover'!$AY$6:$AY$63,0)),"")</f>
        <v/>
      </c>
      <c r="D43" s="48" t="str">
        <f ca="1">IFERROR(INDEX('Gantt Cutover'!$B$6:$B$63,MATCH(30,'Gantt Cutover'!$AY$6:$AY$63,0)),"")</f>
        <v/>
      </c>
      <c r="E43" s="49" t="str">
        <f ca="1">IFERROR(INDEX('Gantt Cutover'!$C$6:$C$63,MATCH(30,'Gantt Cutover'!$AY$6:$AY$63,0)),"")</f>
        <v/>
      </c>
      <c r="F43" s="49" t="str">
        <f ca="1">IFERROR(INDEX('Gantt Cutover'!$G$6:$G$63,MATCH(30,'Gantt Cutover'!$AY$6:$AY$63,0)),"")</f>
        <v/>
      </c>
      <c r="G43" s="49" t="str">
        <f ca="1">IFERROR(INDEX('Equipo y Calendario'!$B$5:$B$24,MATCH(F43,'Equipo y Calendario'!$A$5:$A$24,0)),"")</f>
        <v/>
      </c>
      <c r="H43" s="49" t="str">
        <f ca="1">IFERROR(INDEX('Gantt Cutover'!$H$6:$H$63,MATCH(30,'Gantt Cutover'!$AY$6:$AY$63,0)),"")</f>
        <v/>
      </c>
      <c r="I43" s="49" t="str">
        <f ca="1">IFERROR(INDEX('Gantt Cutover'!$I$6:$I$63,MATCH(30,'Gantt Cutover'!$AY$6:$AY$63,0)),"")</f>
        <v/>
      </c>
      <c r="J43" s="50" t="str">
        <f ca="1">IFERROR(INDEX('Gantt Cutover'!$J$6:$J$63,MATCH(30,'Gantt Cutover'!$AY$6:$AY$63,0)),"")</f>
        <v/>
      </c>
      <c r="K43" s="50" t="str">
        <f ca="1">IFERROR(INDEX('Gantt Cutover'!$K$6:$K$63,MATCH(30,'Gantt Cutover'!$AY$6:$AY$63,0)),"")</f>
        <v/>
      </c>
      <c r="L43" s="48" t="str">
        <f ca="1">IFERROR(INDEX('Gantt Cutover'!$M$6:$M$63,MATCH(30,'Gantt Cutover'!$AY$6:$AY$63,0)),"")</f>
        <v/>
      </c>
    </row>
    <row r="45" spans="2:12" ht="15.6" x14ac:dyDescent="0.3">
      <c r="B45" s="32" t="s">
        <v>299</v>
      </c>
    </row>
    <row r="46" spans="2:12" x14ac:dyDescent="0.3">
      <c r="B46" s="6" t="s">
        <v>297</v>
      </c>
      <c r="C46" s="6" t="s">
        <v>10</v>
      </c>
      <c r="D46" s="6" t="s">
        <v>11</v>
      </c>
      <c r="E46" s="6" t="s">
        <v>12</v>
      </c>
      <c r="F46" s="6" t="s">
        <v>16</v>
      </c>
      <c r="G46" s="6" t="s">
        <v>298</v>
      </c>
      <c r="H46" s="6" t="s">
        <v>17</v>
      </c>
      <c r="I46" s="6" t="s">
        <v>18</v>
      </c>
      <c r="J46" s="6" t="s">
        <v>19</v>
      </c>
      <c r="K46" s="6" t="s">
        <v>20</v>
      </c>
      <c r="L46" s="6" t="s">
        <v>22</v>
      </c>
    </row>
    <row r="47" spans="2:12" ht="27.75" customHeight="1" x14ac:dyDescent="0.3">
      <c r="B47" s="47">
        <v>1</v>
      </c>
      <c r="C47" s="48" t="str">
        <f ca="1">IFERROR(INDEX('Gantt Cutover'!$A$6:$A$63,MATCH(1,'Gantt Cutover'!$BA$6:$BA$63,0)),"")</f>
        <v/>
      </c>
      <c r="D47" s="48" t="str">
        <f ca="1">IFERROR(INDEX('Gantt Cutover'!$B$6:$B$63,MATCH(1,'Gantt Cutover'!$BA$6:$BA$63,0)),"")</f>
        <v/>
      </c>
      <c r="E47" s="49" t="str">
        <f ca="1">IFERROR(INDEX('Gantt Cutover'!$C$6:$C$63,MATCH(1,'Gantt Cutover'!$BA$6:$BA$63,0)),"")</f>
        <v/>
      </c>
      <c r="F47" s="49" t="str">
        <f ca="1">IFERROR(INDEX('Gantt Cutover'!$G$6:$G$63,MATCH(1,'Gantt Cutover'!$BA$6:$BA$63,0)),"")</f>
        <v/>
      </c>
      <c r="G47" s="49" t="str">
        <f ca="1">IFERROR(INDEX('Equipo y Calendario'!$B$5:$B$24,MATCH(F47,'Equipo y Calendario'!$A$5:$A$24,0)),"")</f>
        <v/>
      </c>
      <c r="H47" s="49" t="str">
        <f ca="1">IFERROR(INDEX('Gantt Cutover'!$H$6:$H$63,MATCH(1,'Gantt Cutover'!$BA$6:$BA$63,0)),"")</f>
        <v/>
      </c>
      <c r="I47" s="49" t="str">
        <f ca="1">IFERROR(INDEX('Gantt Cutover'!$I$6:$I$63,MATCH(1,'Gantt Cutover'!$BA$6:$BA$63,0)),"")</f>
        <v/>
      </c>
      <c r="J47" s="50" t="str">
        <f ca="1">IFERROR(INDEX('Gantt Cutover'!$J$6:$J$63,MATCH(1,'Gantt Cutover'!$BA$6:$BA$63,0)),"")</f>
        <v/>
      </c>
      <c r="K47" s="50" t="str">
        <f ca="1">IFERROR(INDEX('Gantt Cutover'!$K$6:$K$63,MATCH(1,'Gantt Cutover'!$BA$6:$BA$63,0)),"")</f>
        <v/>
      </c>
      <c r="L47" s="48" t="str">
        <f ca="1">IFERROR(INDEX('Gantt Cutover'!$M$6:$M$63,MATCH(1,'Gantt Cutover'!$BA$6:$BA$63,0)),"")</f>
        <v/>
      </c>
    </row>
    <row r="48" spans="2:12" ht="27.75" customHeight="1" x14ac:dyDescent="0.3">
      <c r="B48" s="47">
        <v>2</v>
      </c>
      <c r="C48" s="48" t="str">
        <f ca="1">IFERROR(INDEX('Gantt Cutover'!$A$6:$A$63,MATCH(2,'Gantt Cutover'!$BA$6:$BA$63,0)),"")</f>
        <v/>
      </c>
      <c r="D48" s="48" t="str">
        <f ca="1">IFERROR(INDEX('Gantt Cutover'!$B$6:$B$63,MATCH(2,'Gantt Cutover'!$BA$6:$BA$63,0)),"")</f>
        <v/>
      </c>
      <c r="E48" s="49" t="str">
        <f ca="1">IFERROR(INDEX('Gantt Cutover'!$C$6:$C$63,MATCH(2,'Gantt Cutover'!$BA$6:$BA$63,0)),"")</f>
        <v/>
      </c>
      <c r="F48" s="49" t="str">
        <f ca="1">IFERROR(INDEX('Gantt Cutover'!$G$6:$G$63,MATCH(2,'Gantt Cutover'!$BA$6:$BA$63,0)),"")</f>
        <v/>
      </c>
      <c r="G48" s="49" t="str">
        <f ca="1">IFERROR(INDEX('Equipo y Calendario'!$B$5:$B$24,MATCH(F48,'Equipo y Calendario'!$A$5:$A$24,0)),"")</f>
        <v/>
      </c>
      <c r="H48" s="49" t="str">
        <f ca="1">IFERROR(INDEX('Gantt Cutover'!$H$6:$H$63,MATCH(2,'Gantt Cutover'!$BA$6:$BA$63,0)),"")</f>
        <v/>
      </c>
      <c r="I48" s="49" t="str">
        <f ca="1">IFERROR(INDEX('Gantt Cutover'!$I$6:$I$63,MATCH(2,'Gantt Cutover'!$BA$6:$BA$63,0)),"")</f>
        <v/>
      </c>
      <c r="J48" s="50" t="str">
        <f ca="1">IFERROR(INDEX('Gantt Cutover'!$J$6:$J$63,MATCH(2,'Gantt Cutover'!$BA$6:$BA$63,0)),"")</f>
        <v/>
      </c>
      <c r="K48" s="50" t="str">
        <f ca="1">IFERROR(INDEX('Gantt Cutover'!$K$6:$K$63,MATCH(2,'Gantt Cutover'!$BA$6:$BA$63,0)),"")</f>
        <v/>
      </c>
      <c r="L48" s="48" t="str">
        <f ca="1">IFERROR(INDEX('Gantt Cutover'!$M$6:$M$63,MATCH(2,'Gantt Cutover'!$BA$6:$BA$63,0)),"")</f>
        <v/>
      </c>
    </row>
    <row r="49" spans="2:12" ht="27.75" customHeight="1" x14ac:dyDescent="0.3">
      <c r="B49" s="47">
        <v>3</v>
      </c>
      <c r="C49" s="48" t="str">
        <f ca="1">IFERROR(INDEX('Gantt Cutover'!$A$6:$A$63,MATCH(3,'Gantt Cutover'!$BA$6:$BA$63,0)),"")</f>
        <v/>
      </c>
      <c r="D49" s="48" t="str">
        <f ca="1">IFERROR(INDEX('Gantt Cutover'!$B$6:$B$63,MATCH(3,'Gantt Cutover'!$BA$6:$BA$63,0)),"")</f>
        <v/>
      </c>
      <c r="E49" s="49" t="str">
        <f ca="1">IFERROR(INDEX('Gantt Cutover'!$C$6:$C$63,MATCH(3,'Gantt Cutover'!$BA$6:$BA$63,0)),"")</f>
        <v/>
      </c>
      <c r="F49" s="49" t="str">
        <f ca="1">IFERROR(INDEX('Gantt Cutover'!$G$6:$G$63,MATCH(3,'Gantt Cutover'!$BA$6:$BA$63,0)),"")</f>
        <v/>
      </c>
      <c r="G49" s="49" t="str">
        <f ca="1">IFERROR(INDEX('Equipo y Calendario'!$B$5:$B$24,MATCH(F49,'Equipo y Calendario'!$A$5:$A$24,0)),"")</f>
        <v/>
      </c>
      <c r="H49" s="49" t="str">
        <f ca="1">IFERROR(INDEX('Gantt Cutover'!$H$6:$H$63,MATCH(3,'Gantt Cutover'!$BA$6:$BA$63,0)),"")</f>
        <v/>
      </c>
      <c r="I49" s="49" t="str">
        <f ca="1">IFERROR(INDEX('Gantt Cutover'!$I$6:$I$63,MATCH(3,'Gantt Cutover'!$BA$6:$BA$63,0)),"")</f>
        <v/>
      </c>
      <c r="J49" s="50" t="str">
        <f ca="1">IFERROR(INDEX('Gantt Cutover'!$J$6:$J$63,MATCH(3,'Gantt Cutover'!$BA$6:$BA$63,0)),"")</f>
        <v/>
      </c>
      <c r="K49" s="50" t="str">
        <f ca="1">IFERROR(INDEX('Gantt Cutover'!$K$6:$K$63,MATCH(3,'Gantt Cutover'!$BA$6:$BA$63,0)),"")</f>
        <v/>
      </c>
      <c r="L49" s="48" t="str">
        <f ca="1">IFERROR(INDEX('Gantt Cutover'!$M$6:$M$63,MATCH(3,'Gantt Cutover'!$BA$6:$BA$63,0)),"")</f>
        <v/>
      </c>
    </row>
    <row r="50" spans="2:12" ht="27.75" customHeight="1" x14ac:dyDescent="0.3">
      <c r="B50" s="47">
        <v>4</v>
      </c>
      <c r="C50" s="48" t="str">
        <f ca="1">IFERROR(INDEX('Gantt Cutover'!$A$6:$A$63,MATCH(4,'Gantt Cutover'!$BA$6:$BA$63,0)),"")</f>
        <v/>
      </c>
      <c r="D50" s="48" t="str">
        <f ca="1">IFERROR(INDEX('Gantt Cutover'!$B$6:$B$63,MATCH(4,'Gantt Cutover'!$BA$6:$BA$63,0)),"")</f>
        <v/>
      </c>
      <c r="E50" s="49" t="str">
        <f ca="1">IFERROR(INDEX('Gantt Cutover'!$C$6:$C$63,MATCH(4,'Gantt Cutover'!$BA$6:$BA$63,0)),"")</f>
        <v/>
      </c>
      <c r="F50" s="49" t="str">
        <f ca="1">IFERROR(INDEX('Gantt Cutover'!$G$6:$G$63,MATCH(4,'Gantt Cutover'!$BA$6:$BA$63,0)),"")</f>
        <v/>
      </c>
      <c r="G50" s="49" t="str">
        <f ca="1">IFERROR(INDEX('Equipo y Calendario'!$B$5:$B$24,MATCH(F50,'Equipo y Calendario'!$A$5:$A$24,0)),"")</f>
        <v/>
      </c>
      <c r="H50" s="49" t="str">
        <f ca="1">IFERROR(INDEX('Gantt Cutover'!$H$6:$H$63,MATCH(4,'Gantt Cutover'!$BA$6:$BA$63,0)),"")</f>
        <v/>
      </c>
      <c r="I50" s="49" t="str">
        <f ca="1">IFERROR(INDEX('Gantt Cutover'!$I$6:$I$63,MATCH(4,'Gantt Cutover'!$BA$6:$BA$63,0)),"")</f>
        <v/>
      </c>
      <c r="J50" s="50" t="str">
        <f ca="1">IFERROR(INDEX('Gantt Cutover'!$J$6:$J$63,MATCH(4,'Gantt Cutover'!$BA$6:$BA$63,0)),"")</f>
        <v/>
      </c>
      <c r="K50" s="50" t="str">
        <f ca="1">IFERROR(INDEX('Gantt Cutover'!$K$6:$K$63,MATCH(4,'Gantt Cutover'!$BA$6:$BA$63,0)),"")</f>
        <v/>
      </c>
      <c r="L50" s="48" t="str">
        <f ca="1">IFERROR(INDEX('Gantt Cutover'!$M$6:$M$63,MATCH(4,'Gantt Cutover'!$BA$6:$BA$63,0)),"")</f>
        <v/>
      </c>
    </row>
    <row r="51" spans="2:12" ht="27.75" customHeight="1" x14ac:dyDescent="0.3">
      <c r="B51" s="47">
        <v>5</v>
      </c>
      <c r="C51" s="48" t="str">
        <f ca="1">IFERROR(INDEX('Gantt Cutover'!$A$6:$A$63,MATCH(5,'Gantt Cutover'!$BA$6:$BA$63,0)),"")</f>
        <v/>
      </c>
      <c r="D51" s="48" t="str">
        <f ca="1">IFERROR(INDEX('Gantt Cutover'!$B$6:$B$63,MATCH(5,'Gantt Cutover'!$BA$6:$BA$63,0)),"")</f>
        <v/>
      </c>
      <c r="E51" s="49" t="str">
        <f ca="1">IFERROR(INDEX('Gantt Cutover'!$C$6:$C$63,MATCH(5,'Gantt Cutover'!$BA$6:$BA$63,0)),"")</f>
        <v/>
      </c>
      <c r="F51" s="49" t="str">
        <f ca="1">IFERROR(INDEX('Gantt Cutover'!$G$6:$G$63,MATCH(5,'Gantt Cutover'!$BA$6:$BA$63,0)),"")</f>
        <v/>
      </c>
      <c r="G51" s="49" t="str">
        <f ca="1">IFERROR(INDEX('Equipo y Calendario'!$B$5:$B$24,MATCH(F51,'Equipo y Calendario'!$A$5:$A$24,0)),"")</f>
        <v/>
      </c>
      <c r="H51" s="49" t="str">
        <f ca="1">IFERROR(INDEX('Gantt Cutover'!$H$6:$H$63,MATCH(5,'Gantt Cutover'!$BA$6:$BA$63,0)),"")</f>
        <v/>
      </c>
      <c r="I51" s="49" t="str">
        <f ca="1">IFERROR(INDEX('Gantt Cutover'!$I$6:$I$63,MATCH(5,'Gantt Cutover'!$BA$6:$BA$63,0)),"")</f>
        <v/>
      </c>
      <c r="J51" s="50" t="str">
        <f ca="1">IFERROR(INDEX('Gantt Cutover'!$J$6:$J$63,MATCH(5,'Gantt Cutover'!$BA$6:$BA$63,0)),"")</f>
        <v/>
      </c>
      <c r="K51" s="50" t="str">
        <f ca="1">IFERROR(INDEX('Gantt Cutover'!$K$6:$K$63,MATCH(5,'Gantt Cutover'!$BA$6:$BA$63,0)),"")</f>
        <v/>
      </c>
      <c r="L51" s="48" t="str">
        <f ca="1">IFERROR(INDEX('Gantt Cutover'!$M$6:$M$63,MATCH(5,'Gantt Cutover'!$BA$6:$BA$63,0)),"")</f>
        <v/>
      </c>
    </row>
    <row r="52" spans="2:12" ht="27.75" customHeight="1" x14ac:dyDescent="0.3">
      <c r="B52" s="47">
        <v>6</v>
      </c>
      <c r="C52" s="48" t="str">
        <f ca="1">IFERROR(INDEX('Gantt Cutover'!$A$6:$A$63,MATCH(6,'Gantt Cutover'!$BA$6:$BA$63,0)),"")</f>
        <v/>
      </c>
      <c r="D52" s="48" t="str">
        <f ca="1">IFERROR(INDEX('Gantt Cutover'!$B$6:$B$63,MATCH(6,'Gantt Cutover'!$BA$6:$BA$63,0)),"")</f>
        <v/>
      </c>
      <c r="E52" s="49" t="str">
        <f ca="1">IFERROR(INDEX('Gantt Cutover'!$C$6:$C$63,MATCH(6,'Gantt Cutover'!$BA$6:$BA$63,0)),"")</f>
        <v/>
      </c>
      <c r="F52" s="49" t="str">
        <f ca="1">IFERROR(INDEX('Gantt Cutover'!$G$6:$G$63,MATCH(6,'Gantt Cutover'!$BA$6:$BA$63,0)),"")</f>
        <v/>
      </c>
      <c r="G52" s="49" t="str">
        <f ca="1">IFERROR(INDEX('Equipo y Calendario'!$B$5:$B$24,MATCH(F52,'Equipo y Calendario'!$A$5:$A$24,0)),"")</f>
        <v/>
      </c>
      <c r="H52" s="49" t="str">
        <f ca="1">IFERROR(INDEX('Gantt Cutover'!$H$6:$H$63,MATCH(6,'Gantt Cutover'!$BA$6:$BA$63,0)),"")</f>
        <v/>
      </c>
      <c r="I52" s="49" t="str">
        <f ca="1">IFERROR(INDEX('Gantt Cutover'!$I$6:$I$63,MATCH(6,'Gantt Cutover'!$BA$6:$BA$63,0)),"")</f>
        <v/>
      </c>
      <c r="J52" s="50" t="str">
        <f ca="1">IFERROR(INDEX('Gantt Cutover'!$J$6:$J$63,MATCH(6,'Gantt Cutover'!$BA$6:$BA$63,0)),"")</f>
        <v/>
      </c>
      <c r="K52" s="50" t="str">
        <f ca="1">IFERROR(INDEX('Gantt Cutover'!$K$6:$K$63,MATCH(6,'Gantt Cutover'!$BA$6:$BA$63,0)),"")</f>
        <v/>
      </c>
      <c r="L52" s="48" t="str">
        <f ca="1">IFERROR(INDEX('Gantt Cutover'!$M$6:$M$63,MATCH(6,'Gantt Cutover'!$BA$6:$BA$63,0)),"")</f>
        <v/>
      </c>
    </row>
    <row r="53" spans="2:12" ht="27.75" customHeight="1" x14ac:dyDescent="0.3">
      <c r="B53" s="47">
        <v>7</v>
      </c>
      <c r="C53" s="48" t="str">
        <f ca="1">IFERROR(INDEX('Gantt Cutover'!$A$6:$A$63,MATCH(7,'Gantt Cutover'!$BA$6:$BA$63,0)),"")</f>
        <v/>
      </c>
      <c r="D53" s="48" t="str">
        <f ca="1">IFERROR(INDEX('Gantt Cutover'!$B$6:$B$63,MATCH(7,'Gantt Cutover'!$BA$6:$BA$63,0)),"")</f>
        <v/>
      </c>
      <c r="E53" s="49" t="str">
        <f ca="1">IFERROR(INDEX('Gantt Cutover'!$C$6:$C$63,MATCH(7,'Gantt Cutover'!$BA$6:$BA$63,0)),"")</f>
        <v/>
      </c>
      <c r="F53" s="49" t="str">
        <f ca="1">IFERROR(INDEX('Gantt Cutover'!$G$6:$G$63,MATCH(7,'Gantt Cutover'!$BA$6:$BA$63,0)),"")</f>
        <v/>
      </c>
      <c r="G53" s="49" t="str">
        <f ca="1">IFERROR(INDEX('Equipo y Calendario'!$B$5:$B$24,MATCH(F53,'Equipo y Calendario'!$A$5:$A$24,0)),"")</f>
        <v/>
      </c>
      <c r="H53" s="49" t="str">
        <f ca="1">IFERROR(INDEX('Gantt Cutover'!$H$6:$H$63,MATCH(7,'Gantt Cutover'!$BA$6:$BA$63,0)),"")</f>
        <v/>
      </c>
      <c r="I53" s="49" t="str">
        <f ca="1">IFERROR(INDEX('Gantt Cutover'!$I$6:$I$63,MATCH(7,'Gantt Cutover'!$BA$6:$BA$63,0)),"")</f>
        <v/>
      </c>
      <c r="J53" s="50" t="str">
        <f ca="1">IFERROR(INDEX('Gantt Cutover'!$J$6:$J$63,MATCH(7,'Gantt Cutover'!$BA$6:$BA$63,0)),"")</f>
        <v/>
      </c>
      <c r="K53" s="50" t="str">
        <f ca="1">IFERROR(INDEX('Gantt Cutover'!$K$6:$K$63,MATCH(7,'Gantt Cutover'!$BA$6:$BA$63,0)),"")</f>
        <v/>
      </c>
      <c r="L53" s="48" t="str">
        <f ca="1">IFERROR(INDEX('Gantt Cutover'!$M$6:$M$63,MATCH(7,'Gantt Cutover'!$BA$6:$BA$63,0)),"")</f>
        <v/>
      </c>
    </row>
    <row r="54" spans="2:12" ht="27.75" customHeight="1" x14ac:dyDescent="0.3">
      <c r="B54" s="47">
        <v>8</v>
      </c>
      <c r="C54" s="48" t="str">
        <f ca="1">IFERROR(INDEX('Gantt Cutover'!$A$6:$A$63,MATCH(8,'Gantt Cutover'!$BA$6:$BA$63,0)),"")</f>
        <v/>
      </c>
      <c r="D54" s="48" t="str">
        <f ca="1">IFERROR(INDEX('Gantt Cutover'!$B$6:$B$63,MATCH(8,'Gantt Cutover'!$BA$6:$BA$63,0)),"")</f>
        <v/>
      </c>
      <c r="E54" s="49" t="str">
        <f ca="1">IFERROR(INDEX('Gantt Cutover'!$C$6:$C$63,MATCH(8,'Gantt Cutover'!$BA$6:$BA$63,0)),"")</f>
        <v/>
      </c>
      <c r="F54" s="49" t="str">
        <f ca="1">IFERROR(INDEX('Gantt Cutover'!$G$6:$G$63,MATCH(8,'Gantt Cutover'!$BA$6:$BA$63,0)),"")</f>
        <v/>
      </c>
      <c r="G54" s="49" t="str">
        <f ca="1">IFERROR(INDEX('Equipo y Calendario'!$B$5:$B$24,MATCH(F54,'Equipo y Calendario'!$A$5:$A$24,0)),"")</f>
        <v/>
      </c>
      <c r="H54" s="49" t="str">
        <f ca="1">IFERROR(INDEX('Gantt Cutover'!$H$6:$H$63,MATCH(8,'Gantt Cutover'!$BA$6:$BA$63,0)),"")</f>
        <v/>
      </c>
      <c r="I54" s="49" t="str">
        <f ca="1">IFERROR(INDEX('Gantt Cutover'!$I$6:$I$63,MATCH(8,'Gantt Cutover'!$BA$6:$BA$63,0)),"")</f>
        <v/>
      </c>
      <c r="J54" s="50" t="str">
        <f ca="1">IFERROR(INDEX('Gantt Cutover'!$J$6:$J$63,MATCH(8,'Gantt Cutover'!$BA$6:$BA$63,0)),"")</f>
        <v/>
      </c>
      <c r="K54" s="50" t="str">
        <f ca="1">IFERROR(INDEX('Gantt Cutover'!$K$6:$K$63,MATCH(8,'Gantt Cutover'!$BA$6:$BA$63,0)),"")</f>
        <v/>
      </c>
      <c r="L54" s="48" t="str">
        <f ca="1">IFERROR(INDEX('Gantt Cutover'!$M$6:$M$63,MATCH(8,'Gantt Cutover'!$BA$6:$BA$63,0)),"")</f>
        <v/>
      </c>
    </row>
    <row r="55" spans="2:12" ht="27.75" customHeight="1" x14ac:dyDescent="0.3">
      <c r="B55" s="47">
        <v>9</v>
      </c>
      <c r="C55" s="48" t="str">
        <f ca="1">IFERROR(INDEX('Gantt Cutover'!$A$6:$A$63,MATCH(9,'Gantt Cutover'!$BA$6:$BA$63,0)),"")</f>
        <v/>
      </c>
      <c r="D55" s="48" t="str">
        <f ca="1">IFERROR(INDEX('Gantt Cutover'!$B$6:$B$63,MATCH(9,'Gantt Cutover'!$BA$6:$BA$63,0)),"")</f>
        <v/>
      </c>
      <c r="E55" s="49" t="str">
        <f ca="1">IFERROR(INDEX('Gantt Cutover'!$C$6:$C$63,MATCH(9,'Gantt Cutover'!$BA$6:$BA$63,0)),"")</f>
        <v/>
      </c>
      <c r="F55" s="49" t="str">
        <f ca="1">IFERROR(INDEX('Gantt Cutover'!$G$6:$G$63,MATCH(9,'Gantt Cutover'!$BA$6:$BA$63,0)),"")</f>
        <v/>
      </c>
      <c r="G55" s="49" t="str">
        <f ca="1">IFERROR(INDEX('Equipo y Calendario'!$B$5:$B$24,MATCH(F55,'Equipo y Calendario'!$A$5:$A$24,0)),"")</f>
        <v/>
      </c>
      <c r="H55" s="49" t="str">
        <f ca="1">IFERROR(INDEX('Gantt Cutover'!$H$6:$H$63,MATCH(9,'Gantt Cutover'!$BA$6:$BA$63,0)),"")</f>
        <v/>
      </c>
      <c r="I55" s="49" t="str">
        <f ca="1">IFERROR(INDEX('Gantt Cutover'!$I$6:$I$63,MATCH(9,'Gantt Cutover'!$BA$6:$BA$63,0)),"")</f>
        <v/>
      </c>
      <c r="J55" s="50" t="str">
        <f ca="1">IFERROR(INDEX('Gantt Cutover'!$J$6:$J$63,MATCH(9,'Gantt Cutover'!$BA$6:$BA$63,0)),"")</f>
        <v/>
      </c>
      <c r="K55" s="50" t="str">
        <f ca="1">IFERROR(INDEX('Gantt Cutover'!$K$6:$K$63,MATCH(9,'Gantt Cutover'!$BA$6:$BA$63,0)),"")</f>
        <v/>
      </c>
      <c r="L55" s="48" t="str">
        <f ca="1">IFERROR(INDEX('Gantt Cutover'!$M$6:$M$63,MATCH(9,'Gantt Cutover'!$BA$6:$BA$63,0)),"")</f>
        <v/>
      </c>
    </row>
    <row r="56" spans="2:12" ht="27.75" customHeight="1" x14ac:dyDescent="0.3">
      <c r="B56" s="47">
        <v>10</v>
      </c>
      <c r="C56" s="48" t="str">
        <f ca="1">IFERROR(INDEX('Gantt Cutover'!$A$6:$A$63,MATCH(10,'Gantt Cutover'!$BA$6:$BA$63,0)),"")</f>
        <v/>
      </c>
      <c r="D56" s="48" t="str">
        <f ca="1">IFERROR(INDEX('Gantt Cutover'!$B$6:$B$63,MATCH(10,'Gantt Cutover'!$BA$6:$BA$63,0)),"")</f>
        <v/>
      </c>
      <c r="E56" s="49" t="str">
        <f ca="1">IFERROR(INDEX('Gantt Cutover'!$C$6:$C$63,MATCH(10,'Gantt Cutover'!$BA$6:$BA$63,0)),"")</f>
        <v/>
      </c>
      <c r="F56" s="49" t="str">
        <f ca="1">IFERROR(INDEX('Gantt Cutover'!$G$6:$G$63,MATCH(10,'Gantt Cutover'!$BA$6:$BA$63,0)),"")</f>
        <v/>
      </c>
      <c r="G56" s="49" t="str">
        <f ca="1">IFERROR(INDEX('Equipo y Calendario'!$B$5:$B$24,MATCH(F56,'Equipo y Calendario'!$A$5:$A$24,0)),"")</f>
        <v/>
      </c>
      <c r="H56" s="49" t="str">
        <f ca="1">IFERROR(INDEX('Gantt Cutover'!$H$6:$H$63,MATCH(10,'Gantt Cutover'!$BA$6:$BA$63,0)),"")</f>
        <v/>
      </c>
      <c r="I56" s="49" t="str">
        <f ca="1">IFERROR(INDEX('Gantt Cutover'!$I$6:$I$63,MATCH(10,'Gantt Cutover'!$BA$6:$BA$63,0)),"")</f>
        <v/>
      </c>
      <c r="J56" s="50" t="str">
        <f ca="1">IFERROR(INDEX('Gantt Cutover'!$J$6:$J$63,MATCH(10,'Gantt Cutover'!$BA$6:$BA$63,0)),"")</f>
        <v/>
      </c>
      <c r="K56" s="50" t="str">
        <f ca="1">IFERROR(INDEX('Gantt Cutover'!$K$6:$K$63,MATCH(10,'Gantt Cutover'!$BA$6:$BA$63,0)),"")</f>
        <v/>
      </c>
      <c r="L56" s="48" t="str">
        <f ca="1">IFERROR(INDEX('Gantt Cutover'!$M$6:$M$63,MATCH(10,'Gantt Cutover'!$BA$6:$BA$63,0)),"")</f>
        <v/>
      </c>
    </row>
    <row r="57" spans="2:12" ht="27.75" customHeight="1" x14ac:dyDescent="0.3">
      <c r="B57" s="47">
        <v>11</v>
      </c>
      <c r="C57" s="48" t="str">
        <f ca="1">IFERROR(INDEX('Gantt Cutover'!$A$6:$A$63,MATCH(11,'Gantt Cutover'!$BA$6:$BA$63,0)),"")</f>
        <v/>
      </c>
      <c r="D57" s="48" t="str">
        <f ca="1">IFERROR(INDEX('Gantt Cutover'!$B$6:$B$63,MATCH(11,'Gantt Cutover'!$BA$6:$BA$63,0)),"")</f>
        <v/>
      </c>
      <c r="E57" s="49" t="str">
        <f ca="1">IFERROR(INDEX('Gantt Cutover'!$C$6:$C$63,MATCH(11,'Gantt Cutover'!$BA$6:$BA$63,0)),"")</f>
        <v/>
      </c>
      <c r="F57" s="49" t="str">
        <f ca="1">IFERROR(INDEX('Gantt Cutover'!$G$6:$G$63,MATCH(11,'Gantt Cutover'!$BA$6:$BA$63,0)),"")</f>
        <v/>
      </c>
      <c r="G57" s="49" t="str">
        <f ca="1">IFERROR(INDEX('Equipo y Calendario'!$B$5:$B$24,MATCH(F57,'Equipo y Calendario'!$A$5:$A$24,0)),"")</f>
        <v/>
      </c>
      <c r="H57" s="49" t="str">
        <f ca="1">IFERROR(INDEX('Gantt Cutover'!$H$6:$H$63,MATCH(11,'Gantt Cutover'!$BA$6:$BA$63,0)),"")</f>
        <v/>
      </c>
      <c r="I57" s="49" t="str">
        <f ca="1">IFERROR(INDEX('Gantt Cutover'!$I$6:$I$63,MATCH(11,'Gantt Cutover'!$BA$6:$BA$63,0)),"")</f>
        <v/>
      </c>
      <c r="J57" s="50" t="str">
        <f ca="1">IFERROR(INDEX('Gantt Cutover'!$J$6:$J$63,MATCH(11,'Gantt Cutover'!$BA$6:$BA$63,0)),"")</f>
        <v/>
      </c>
      <c r="K57" s="50" t="str">
        <f ca="1">IFERROR(INDEX('Gantt Cutover'!$K$6:$K$63,MATCH(11,'Gantt Cutover'!$BA$6:$BA$63,0)),"")</f>
        <v/>
      </c>
      <c r="L57" s="48" t="str">
        <f ca="1">IFERROR(INDEX('Gantt Cutover'!$M$6:$M$63,MATCH(11,'Gantt Cutover'!$BA$6:$BA$63,0)),"")</f>
        <v/>
      </c>
    </row>
    <row r="58" spans="2:12" ht="27.75" customHeight="1" x14ac:dyDescent="0.3">
      <c r="B58" s="47">
        <v>12</v>
      </c>
      <c r="C58" s="48" t="str">
        <f ca="1">IFERROR(INDEX('Gantt Cutover'!$A$6:$A$63,MATCH(12,'Gantt Cutover'!$BA$6:$BA$63,0)),"")</f>
        <v/>
      </c>
      <c r="D58" s="48" t="str">
        <f ca="1">IFERROR(INDEX('Gantt Cutover'!$B$6:$B$63,MATCH(12,'Gantt Cutover'!$BA$6:$BA$63,0)),"")</f>
        <v/>
      </c>
      <c r="E58" s="49" t="str">
        <f ca="1">IFERROR(INDEX('Gantt Cutover'!$C$6:$C$63,MATCH(12,'Gantt Cutover'!$BA$6:$BA$63,0)),"")</f>
        <v/>
      </c>
      <c r="F58" s="49" t="str">
        <f ca="1">IFERROR(INDEX('Gantt Cutover'!$G$6:$G$63,MATCH(12,'Gantt Cutover'!$BA$6:$BA$63,0)),"")</f>
        <v/>
      </c>
      <c r="G58" s="49" t="str">
        <f ca="1">IFERROR(INDEX('Equipo y Calendario'!$B$5:$B$24,MATCH(F58,'Equipo y Calendario'!$A$5:$A$24,0)),"")</f>
        <v/>
      </c>
      <c r="H58" s="49" t="str">
        <f ca="1">IFERROR(INDEX('Gantt Cutover'!$H$6:$H$63,MATCH(12,'Gantt Cutover'!$BA$6:$BA$63,0)),"")</f>
        <v/>
      </c>
      <c r="I58" s="49" t="str">
        <f ca="1">IFERROR(INDEX('Gantt Cutover'!$I$6:$I$63,MATCH(12,'Gantt Cutover'!$BA$6:$BA$63,0)),"")</f>
        <v/>
      </c>
      <c r="J58" s="50" t="str">
        <f ca="1">IFERROR(INDEX('Gantt Cutover'!$J$6:$J$63,MATCH(12,'Gantt Cutover'!$BA$6:$BA$63,0)),"")</f>
        <v/>
      </c>
      <c r="K58" s="50" t="str">
        <f ca="1">IFERROR(INDEX('Gantt Cutover'!$K$6:$K$63,MATCH(12,'Gantt Cutover'!$BA$6:$BA$63,0)),"")</f>
        <v/>
      </c>
      <c r="L58" s="48" t="str">
        <f ca="1">IFERROR(INDEX('Gantt Cutover'!$M$6:$M$63,MATCH(12,'Gantt Cutover'!$BA$6:$BA$63,0)),"")</f>
        <v/>
      </c>
    </row>
    <row r="59" spans="2:12" ht="27.75" customHeight="1" x14ac:dyDescent="0.3">
      <c r="B59" s="47">
        <v>13</v>
      </c>
      <c r="C59" s="48" t="str">
        <f ca="1">IFERROR(INDEX('Gantt Cutover'!$A$6:$A$63,MATCH(13,'Gantt Cutover'!$BA$6:$BA$63,0)),"")</f>
        <v/>
      </c>
      <c r="D59" s="48" t="str">
        <f ca="1">IFERROR(INDEX('Gantt Cutover'!$B$6:$B$63,MATCH(13,'Gantt Cutover'!$BA$6:$BA$63,0)),"")</f>
        <v/>
      </c>
      <c r="E59" s="49" t="str">
        <f ca="1">IFERROR(INDEX('Gantt Cutover'!$C$6:$C$63,MATCH(13,'Gantt Cutover'!$BA$6:$BA$63,0)),"")</f>
        <v/>
      </c>
      <c r="F59" s="49" t="str">
        <f ca="1">IFERROR(INDEX('Gantt Cutover'!$G$6:$G$63,MATCH(13,'Gantt Cutover'!$BA$6:$BA$63,0)),"")</f>
        <v/>
      </c>
      <c r="G59" s="49" t="str">
        <f ca="1">IFERROR(INDEX('Equipo y Calendario'!$B$5:$B$24,MATCH(F59,'Equipo y Calendario'!$A$5:$A$24,0)),"")</f>
        <v/>
      </c>
      <c r="H59" s="49" t="str">
        <f ca="1">IFERROR(INDEX('Gantt Cutover'!$H$6:$H$63,MATCH(13,'Gantt Cutover'!$BA$6:$BA$63,0)),"")</f>
        <v/>
      </c>
      <c r="I59" s="49" t="str">
        <f ca="1">IFERROR(INDEX('Gantt Cutover'!$I$6:$I$63,MATCH(13,'Gantt Cutover'!$BA$6:$BA$63,0)),"")</f>
        <v/>
      </c>
      <c r="J59" s="50" t="str">
        <f ca="1">IFERROR(INDEX('Gantt Cutover'!$J$6:$J$63,MATCH(13,'Gantt Cutover'!$BA$6:$BA$63,0)),"")</f>
        <v/>
      </c>
      <c r="K59" s="50" t="str">
        <f ca="1">IFERROR(INDEX('Gantt Cutover'!$K$6:$K$63,MATCH(13,'Gantt Cutover'!$BA$6:$BA$63,0)),"")</f>
        <v/>
      </c>
      <c r="L59" s="48" t="str">
        <f ca="1">IFERROR(INDEX('Gantt Cutover'!$M$6:$M$63,MATCH(13,'Gantt Cutover'!$BA$6:$BA$63,0)),"")</f>
        <v/>
      </c>
    </row>
    <row r="60" spans="2:12" ht="27.75" customHeight="1" x14ac:dyDescent="0.3">
      <c r="B60" s="47">
        <v>14</v>
      </c>
      <c r="C60" s="48" t="str">
        <f ca="1">IFERROR(INDEX('Gantt Cutover'!$A$6:$A$63,MATCH(14,'Gantt Cutover'!$BA$6:$BA$63,0)),"")</f>
        <v/>
      </c>
      <c r="D60" s="48" t="str">
        <f ca="1">IFERROR(INDEX('Gantt Cutover'!$B$6:$B$63,MATCH(14,'Gantt Cutover'!$BA$6:$BA$63,0)),"")</f>
        <v/>
      </c>
      <c r="E60" s="49" t="str">
        <f ca="1">IFERROR(INDEX('Gantt Cutover'!$C$6:$C$63,MATCH(14,'Gantt Cutover'!$BA$6:$BA$63,0)),"")</f>
        <v/>
      </c>
      <c r="F60" s="49" t="str">
        <f ca="1">IFERROR(INDEX('Gantt Cutover'!$G$6:$G$63,MATCH(14,'Gantt Cutover'!$BA$6:$BA$63,0)),"")</f>
        <v/>
      </c>
      <c r="G60" s="49" t="str">
        <f ca="1">IFERROR(INDEX('Equipo y Calendario'!$B$5:$B$24,MATCH(F60,'Equipo y Calendario'!$A$5:$A$24,0)),"")</f>
        <v/>
      </c>
      <c r="H60" s="49" t="str">
        <f ca="1">IFERROR(INDEX('Gantt Cutover'!$H$6:$H$63,MATCH(14,'Gantt Cutover'!$BA$6:$BA$63,0)),"")</f>
        <v/>
      </c>
      <c r="I60" s="49" t="str">
        <f ca="1">IFERROR(INDEX('Gantt Cutover'!$I$6:$I$63,MATCH(14,'Gantt Cutover'!$BA$6:$BA$63,0)),"")</f>
        <v/>
      </c>
      <c r="J60" s="50" t="str">
        <f ca="1">IFERROR(INDEX('Gantt Cutover'!$J$6:$J$63,MATCH(14,'Gantt Cutover'!$BA$6:$BA$63,0)),"")</f>
        <v/>
      </c>
      <c r="K60" s="50" t="str">
        <f ca="1">IFERROR(INDEX('Gantt Cutover'!$K$6:$K$63,MATCH(14,'Gantt Cutover'!$BA$6:$BA$63,0)),"")</f>
        <v/>
      </c>
      <c r="L60" s="48" t="str">
        <f ca="1">IFERROR(INDEX('Gantt Cutover'!$M$6:$M$63,MATCH(14,'Gantt Cutover'!$BA$6:$BA$63,0)),"")</f>
        <v/>
      </c>
    </row>
    <row r="61" spans="2:12" ht="27.75" customHeight="1" x14ac:dyDescent="0.3">
      <c r="B61" s="47">
        <v>15</v>
      </c>
      <c r="C61" s="48" t="str">
        <f ca="1">IFERROR(INDEX('Gantt Cutover'!$A$6:$A$63,MATCH(15,'Gantt Cutover'!$BA$6:$BA$63,0)),"")</f>
        <v/>
      </c>
      <c r="D61" s="48" t="str">
        <f ca="1">IFERROR(INDEX('Gantt Cutover'!$B$6:$B$63,MATCH(15,'Gantt Cutover'!$BA$6:$BA$63,0)),"")</f>
        <v/>
      </c>
      <c r="E61" s="49" t="str">
        <f ca="1">IFERROR(INDEX('Gantt Cutover'!$C$6:$C$63,MATCH(15,'Gantt Cutover'!$BA$6:$BA$63,0)),"")</f>
        <v/>
      </c>
      <c r="F61" s="49" t="str">
        <f ca="1">IFERROR(INDEX('Gantt Cutover'!$G$6:$G$63,MATCH(15,'Gantt Cutover'!$BA$6:$BA$63,0)),"")</f>
        <v/>
      </c>
      <c r="G61" s="49" t="str">
        <f ca="1">IFERROR(INDEX('Equipo y Calendario'!$B$5:$B$24,MATCH(F61,'Equipo y Calendario'!$A$5:$A$24,0)),"")</f>
        <v/>
      </c>
      <c r="H61" s="49" t="str">
        <f ca="1">IFERROR(INDEX('Gantt Cutover'!$H$6:$H$63,MATCH(15,'Gantt Cutover'!$BA$6:$BA$63,0)),"")</f>
        <v/>
      </c>
      <c r="I61" s="49" t="str">
        <f ca="1">IFERROR(INDEX('Gantt Cutover'!$I$6:$I$63,MATCH(15,'Gantt Cutover'!$BA$6:$BA$63,0)),"")</f>
        <v/>
      </c>
      <c r="J61" s="50" t="str">
        <f ca="1">IFERROR(INDEX('Gantt Cutover'!$J$6:$J$63,MATCH(15,'Gantt Cutover'!$BA$6:$BA$63,0)),"")</f>
        <v/>
      </c>
      <c r="K61" s="50" t="str">
        <f ca="1">IFERROR(INDEX('Gantt Cutover'!$K$6:$K$63,MATCH(15,'Gantt Cutover'!$BA$6:$BA$63,0)),"")</f>
        <v/>
      </c>
      <c r="L61" s="48" t="str">
        <f ca="1">IFERROR(INDEX('Gantt Cutover'!$M$6:$M$63,MATCH(15,'Gantt Cutover'!$BA$6:$BA$63,0)),"")</f>
        <v/>
      </c>
    </row>
    <row r="62" spans="2:12" ht="27.75" customHeight="1" x14ac:dyDescent="0.3">
      <c r="B62" s="47">
        <v>16</v>
      </c>
      <c r="C62" s="48" t="str">
        <f ca="1">IFERROR(INDEX('Gantt Cutover'!$A$6:$A$63,MATCH(16,'Gantt Cutover'!$BA$6:$BA$63,0)),"")</f>
        <v/>
      </c>
      <c r="D62" s="48" t="str">
        <f ca="1">IFERROR(INDEX('Gantt Cutover'!$B$6:$B$63,MATCH(16,'Gantt Cutover'!$BA$6:$BA$63,0)),"")</f>
        <v/>
      </c>
      <c r="E62" s="49" t="str">
        <f ca="1">IFERROR(INDEX('Gantt Cutover'!$C$6:$C$63,MATCH(16,'Gantt Cutover'!$BA$6:$BA$63,0)),"")</f>
        <v/>
      </c>
      <c r="F62" s="49" t="str">
        <f ca="1">IFERROR(INDEX('Gantt Cutover'!$G$6:$G$63,MATCH(16,'Gantt Cutover'!$BA$6:$BA$63,0)),"")</f>
        <v/>
      </c>
      <c r="G62" s="49" t="str">
        <f ca="1">IFERROR(INDEX('Equipo y Calendario'!$B$5:$B$24,MATCH(F62,'Equipo y Calendario'!$A$5:$A$24,0)),"")</f>
        <v/>
      </c>
      <c r="H62" s="49" t="str">
        <f ca="1">IFERROR(INDEX('Gantt Cutover'!$H$6:$H$63,MATCH(16,'Gantt Cutover'!$BA$6:$BA$63,0)),"")</f>
        <v/>
      </c>
      <c r="I62" s="49" t="str">
        <f ca="1">IFERROR(INDEX('Gantt Cutover'!$I$6:$I$63,MATCH(16,'Gantt Cutover'!$BA$6:$BA$63,0)),"")</f>
        <v/>
      </c>
      <c r="J62" s="50" t="str">
        <f ca="1">IFERROR(INDEX('Gantt Cutover'!$J$6:$J$63,MATCH(16,'Gantt Cutover'!$BA$6:$BA$63,0)),"")</f>
        <v/>
      </c>
      <c r="K62" s="50" t="str">
        <f ca="1">IFERROR(INDEX('Gantt Cutover'!$K$6:$K$63,MATCH(16,'Gantt Cutover'!$BA$6:$BA$63,0)),"")</f>
        <v/>
      </c>
      <c r="L62" s="48" t="str">
        <f ca="1">IFERROR(INDEX('Gantt Cutover'!$M$6:$M$63,MATCH(16,'Gantt Cutover'!$BA$6:$BA$63,0)),"")</f>
        <v/>
      </c>
    </row>
    <row r="63" spans="2:12" ht="27.75" customHeight="1" x14ac:dyDescent="0.3">
      <c r="B63" s="47">
        <v>17</v>
      </c>
      <c r="C63" s="48" t="str">
        <f ca="1">IFERROR(INDEX('Gantt Cutover'!$A$6:$A$63,MATCH(17,'Gantt Cutover'!$BA$6:$BA$63,0)),"")</f>
        <v/>
      </c>
      <c r="D63" s="48" t="str">
        <f ca="1">IFERROR(INDEX('Gantt Cutover'!$B$6:$B$63,MATCH(17,'Gantt Cutover'!$BA$6:$BA$63,0)),"")</f>
        <v/>
      </c>
      <c r="E63" s="49" t="str">
        <f ca="1">IFERROR(INDEX('Gantt Cutover'!$C$6:$C$63,MATCH(17,'Gantt Cutover'!$BA$6:$BA$63,0)),"")</f>
        <v/>
      </c>
      <c r="F63" s="49" t="str">
        <f ca="1">IFERROR(INDEX('Gantt Cutover'!$G$6:$G$63,MATCH(17,'Gantt Cutover'!$BA$6:$BA$63,0)),"")</f>
        <v/>
      </c>
      <c r="G63" s="49" t="str">
        <f ca="1">IFERROR(INDEX('Equipo y Calendario'!$B$5:$B$24,MATCH(F63,'Equipo y Calendario'!$A$5:$A$24,0)),"")</f>
        <v/>
      </c>
      <c r="H63" s="49" t="str">
        <f ca="1">IFERROR(INDEX('Gantt Cutover'!$H$6:$H$63,MATCH(17,'Gantt Cutover'!$BA$6:$BA$63,0)),"")</f>
        <v/>
      </c>
      <c r="I63" s="49" t="str">
        <f ca="1">IFERROR(INDEX('Gantt Cutover'!$I$6:$I$63,MATCH(17,'Gantt Cutover'!$BA$6:$BA$63,0)),"")</f>
        <v/>
      </c>
      <c r="J63" s="50" t="str">
        <f ca="1">IFERROR(INDEX('Gantt Cutover'!$J$6:$J$63,MATCH(17,'Gantt Cutover'!$BA$6:$BA$63,0)),"")</f>
        <v/>
      </c>
      <c r="K63" s="50" t="str">
        <f ca="1">IFERROR(INDEX('Gantt Cutover'!$K$6:$K$63,MATCH(17,'Gantt Cutover'!$BA$6:$BA$63,0)),"")</f>
        <v/>
      </c>
      <c r="L63" s="48" t="str">
        <f ca="1">IFERROR(INDEX('Gantt Cutover'!$M$6:$M$63,MATCH(17,'Gantt Cutover'!$BA$6:$BA$63,0)),"")</f>
        <v/>
      </c>
    </row>
    <row r="64" spans="2:12" ht="27.75" customHeight="1" x14ac:dyDescent="0.3">
      <c r="B64" s="47">
        <v>18</v>
      </c>
      <c r="C64" s="48" t="str">
        <f ca="1">IFERROR(INDEX('Gantt Cutover'!$A$6:$A$63,MATCH(18,'Gantt Cutover'!$BA$6:$BA$63,0)),"")</f>
        <v/>
      </c>
      <c r="D64" s="48" t="str">
        <f ca="1">IFERROR(INDEX('Gantt Cutover'!$B$6:$B$63,MATCH(18,'Gantt Cutover'!$BA$6:$BA$63,0)),"")</f>
        <v/>
      </c>
      <c r="E64" s="49" t="str">
        <f ca="1">IFERROR(INDEX('Gantt Cutover'!$C$6:$C$63,MATCH(18,'Gantt Cutover'!$BA$6:$BA$63,0)),"")</f>
        <v/>
      </c>
      <c r="F64" s="49" t="str">
        <f ca="1">IFERROR(INDEX('Gantt Cutover'!$G$6:$G$63,MATCH(18,'Gantt Cutover'!$BA$6:$BA$63,0)),"")</f>
        <v/>
      </c>
      <c r="G64" s="49" t="str">
        <f ca="1">IFERROR(INDEX('Equipo y Calendario'!$B$5:$B$24,MATCH(F64,'Equipo y Calendario'!$A$5:$A$24,0)),"")</f>
        <v/>
      </c>
      <c r="H64" s="49" t="str">
        <f ca="1">IFERROR(INDEX('Gantt Cutover'!$H$6:$H$63,MATCH(18,'Gantt Cutover'!$BA$6:$BA$63,0)),"")</f>
        <v/>
      </c>
      <c r="I64" s="49" t="str">
        <f ca="1">IFERROR(INDEX('Gantt Cutover'!$I$6:$I$63,MATCH(18,'Gantt Cutover'!$BA$6:$BA$63,0)),"")</f>
        <v/>
      </c>
      <c r="J64" s="50" t="str">
        <f ca="1">IFERROR(INDEX('Gantt Cutover'!$J$6:$J$63,MATCH(18,'Gantt Cutover'!$BA$6:$BA$63,0)),"")</f>
        <v/>
      </c>
      <c r="K64" s="50" t="str">
        <f ca="1">IFERROR(INDEX('Gantt Cutover'!$K$6:$K$63,MATCH(18,'Gantt Cutover'!$BA$6:$BA$63,0)),"")</f>
        <v/>
      </c>
      <c r="L64" s="48" t="str">
        <f ca="1">IFERROR(INDEX('Gantt Cutover'!$M$6:$M$63,MATCH(18,'Gantt Cutover'!$BA$6:$BA$63,0)),"")</f>
        <v/>
      </c>
    </row>
    <row r="65" spans="2:12" ht="27.75" customHeight="1" x14ac:dyDescent="0.3">
      <c r="B65" s="47">
        <v>19</v>
      </c>
      <c r="C65" s="48" t="str">
        <f ca="1">IFERROR(INDEX('Gantt Cutover'!$A$6:$A$63,MATCH(19,'Gantt Cutover'!$BA$6:$BA$63,0)),"")</f>
        <v/>
      </c>
      <c r="D65" s="48" t="str">
        <f ca="1">IFERROR(INDEX('Gantt Cutover'!$B$6:$B$63,MATCH(19,'Gantt Cutover'!$BA$6:$BA$63,0)),"")</f>
        <v/>
      </c>
      <c r="E65" s="49" t="str">
        <f ca="1">IFERROR(INDEX('Gantt Cutover'!$C$6:$C$63,MATCH(19,'Gantt Cutover'!$BA$6:$BA$63,0)),"")</f>
        <v/>
      </c>
      <c r="F65" s="49" t="str">
        <f ca="1">IFERROR(INDEX('Gantt Cutover'!$G$6:$G$63,MATCH(19,'Gantt Cutover'!$BA$6:$BA$63,0)),"")</f>
        <v/>
      </c>
      <c r="G65" s="49" t="str">
        <f ca="1">IFERROR(INDEX('Equipo y Calendario'!$B$5:$B$24,MATCH(F65,'Equipo y Calendario'!$A$5:$A$24,0)),"")</f>
        <v/>
      </c>
      <c r="H65" s="49" t="str">
        <f ca="1">IFERROR(INDEX('Gantt Cutover'!$H$6:$H$63,MATCH(19,'Gantt Cutover'!$BA$6:$BA$63,0)),"")</f>
        <v/>
      </c>
      <c r="I65" s="49" t="str">
        <f ca="1">IFERROR(INDEX('Gantt Cutover'!$I$6:$I$63,MATCH(19,'Gantt Cutover'!$BA$6:$BA$63,0)),"")</f>
        <v/>
      </c>
      <c r="J65" s="50" t="str">
        <f ca="1">IFERROR(INDEX('Gantt Cutover'!$J$6:$J$63,MATCH(19,'Gantt Cutover'!$BA$6:$BA$63,0)),"")</f>
        <v/>
      </c>
      <c r="K65" s="50" t="str">
        <f ca="1">IFERROR(INDEX('Gantt Cutover'!$K$6:$K$63,MATCH(19,'Gantt Cutover'!$BA$6:$BA$63,0)),"")</f>
        <v/>
      </c>
      <c r="L65" s="48" t="str">
        <f ca="1">IFERROR(INDEX('Gantt Cutover'!$M$6:$M$63,MATCH(19,'Gantt Cutover'!$BA$6:$BA$63,0)),"")</f>
        <v/>
      </c>
    </row>
    <row r="66" spans="2:12" ht="27.75" customHeight="1" x14ac:dyDescent="0.3">
      <c r="B66" s="47">
        <v>20</v>
      </c>
      <c r="C66" s="48" t="str">
        <f ca="1">IFERROR(INDEX('Gantt Cutover'!$A$6:$A$63,MATCH(20,'Gantt Cutover'!$BA$6:$BA$63,0)),"")</f>
        <v/>
      </c>
      <c r="D66" s="48" t="str">
        <f ca="1">IFERROR(INDEX('Gantt Cutover'!$B$6:$B$63,MATCH(20,'Gantt Cutover'!$BA$6:$BA$63,0)),"")</f>
        <v/>
      </c>
      <c r="E66" s="49" t="str">
        <f ca="1">IFERROR(INDEX('Gantt Cutover'!$C$6:$C$63,MATCH(20,'Gantt Cutover'!$BA$6:$BA$63,0)),"")</f>
        <v/>
      </c>
      <c r="F66" s="49" t="str">
        <f ca="1">IFERROR(INDEX('Gantt Cutover'!$G$6:$G$63,MATCH(20,'Gantt Cutover'!$BA$6:$BA$63,0)),"")</f>
        <v/>
      </c>
      <c r="G66" s="49" t="str">
        <f ca="1">IFERROR(INDEX('Equipo y Calendario'!$B$5:$B$24,MATCH(F66,'Equipo y Calendario'!$A$5:$A$24,0)),"")</f>
        <v/>
      </c>
      <c r="H66" s="49" t="str">
        <f ca="1">IFERROR(INDEX('Gantt Cutover'!$H$6:$H$63,MATCH(20,'Gantt Cutover'!$BA$6:$BA$63,0)),"")</f>
        <v/>
      </c>
      <c r="I66" s="49" t="str">
        <f ca="1">IFERROR(INDEX('Gantt Cutover'!$I$6:$I$63,MATCH(20,'Gantt Cutover'!$BA$6:$BA$63,0)),"")</f>
        <v/>
      </c>
      <c r="J66" s="50" t="str">
        <f ca="1">IFERROR(INDEX('Gantt Cutover'!$J$6:$J$63,MATCH(20,'Gantt Cutover'!$BA$6:$BA$63,0)),"")</f>
        <v/>
      </c>
      <c r="K66" s="50" t="str">
        <f ca="1">IFERROR(INDEX('Gantt Cutover'!$K$6:$K$63,MATCH(20,'Gantt Cutover'!$BA$6:$BA$63,0)),"")</f>
        <v/>
      </c>
      <c r="L66" s="48" t="str">
        <f ca="1">IFERROR(INDEX('Gantt Cutover'!$M$6:$M$63,MATCH(20,'Gantt Cutover'!$BA$6:$BA$63,0)),"")</f>
        <v/>
      </c>
    </row>
    <row r="67" spans="2:12" ht="27.75" customHeight="1" x14ac:dyDescent="0.3">
      <c r="B67" s="47">
        <v>21</v>
      </c>
      <c r="C67" s="48" t="str">
        <f ca="1">IFERROR(INDEX('Gantt Cutover'!$A$6:$A$63,MATCH(21,'Gantt Cutover'!$BA$6:$BA$63,0)),"")</f>
        <v/>
      </c>
      <c r="D67" s="48" t="str">
        <f ca="1">IFERROR(INDEX('Gantt Cutover'!$B$6:$B$63,MATCH(21,'Gantt Cutover'!$BA$6:$BA$63,0)),"")</f>
        <v/>
      </c>
      <c r="E67" s="49" t="str">
        <f ca="1">IFERROR(INDEX('Gantt Cutover'!$C$6:$C$63,MATCH(21,'Gantt Cutover'!$BA$6:$BA$63,0)),"")</f>
        <v/>
      </c>
      <c r="F67" s="49" t="str">
        <f ca="1">IFERROR(INDEX('Gantt Cutover'!$G$6:$G$63,MATCH(21,'Gantt Cutover'!$BA$6:$BA$63,0)),"")</f>
        <v/>
      </c>
      <c r="G67" s="49" t="str">
        <f ca="1">IFERROR(INDEX('Equipo y Calendario'!$B$5:$B$24,MATCH(F67,'Equipo y Calendario'!$A$5:$A$24,0)),"")</f>
        <v/>
      </c>
      <c r="H67" s="49" t="str">
        <f ca="1">IFERROR(INDEX('Gantt Cutover'!$H$6:$H$63,MATCH(21,'Gantt Cutover'!$BA$6:$BA$63,0)),"")</f>
        <v/>
      </c>
      <c r="I67" s="49" t="str">
        <f ca="1">IFERROR(INDEX('Gantt Cutover'!$I$6:$I$63,MATCH(21,'Gantt Cutover'!$BA$6:$BA$63,0)),"")</f>
        <v/>
      </c>
      <c r="J67" s="50" t="str">
        <f ca="1">IFERROR(INDEX('Gantt Cutover'!$J$6:$J$63,MATCH(21,'Gantt Cutover'!$BA$6:$BA$63,0)),"")</f>
        <v/>
      </c>
      <c r="K67" s="50" t="str">
        <f ca="1">IFERROR(INDEX('Gantt Cutover'!$K$6:$K$63,MATCH(21,'Gantt Cutover'!$BA$6:$BA$63,0)),"")</f>
        <v/>
      </c>
      <c r="L67" s="48" t="str">
        <f ca="1">IFERROR(INDEX('Gantt Cutover'!$M$6:$M$63,MATCH(21,'Gantt Cutover'!$BA$6:$BA$63,0)),"")</f>
        <v/>
      </c>
    </row>
    <row r="68" spans="2:12" ht="27.75" customHeight="1" x14ac:dyDescent="0.3">
      <c r="B68" s="47">
        <v>22</v>
      </c>
      <c r="C68" s="48" t="str">
        <f ca="1">IFERROR(INDEX('Gantt Cutover'!$A$6:$A$63,MATCH(22,'Gantt Cutover'!$BA$6:$BA$63,0)),"")</f>
        <v/>
      </c>
      <c r="D68" s="48" t="str">
        <f ca="1">IFERROR(INDEX('Gantt Cutover'!$B$6:$B$63,MATCH(22,'Gantt Cutover'!$BA$6:$BA$63,0)),"")</f>
        <v/>
      </c>
      <c r="E68" s="49" t="str">
        <f ca="1">IFERROR(INDEX('Gantt Cutover'!$C$6:$C$63,MATCH(22,'Gantt Cutover'!$BA$6:$BA$63,0)),"")</f>
        <v/>
      </c>
      <c r="F68" s="49" t="str">
        <f ca="1">IFERROR(INDEX('Gantt Cutover'!$G$6:$G$63,MATCH(22,'Gantt Cutover'!$BA$6:$BA$63,0)),"")</f>
        <v/>
      </c>
      <c r="G68" s="49" t="str">
        <f ca="1">IFERROR(INDEX('Equipo y Calendario'!$B$5:$B$24,MATCH(F68,'Equipo y Calendario'!$A$5:$A$24,0)),"")</f>
        <v/>
      </c>
      <c r="H68" s="49" t="str">
        <f ca="1">IFERROR(INDEX('Gantt Cutover'!$H$6:$H$63,MATCH(22,'Gantt Cutover'!$BA$6:$BA$63,0)),"")</f>
        <v/>
      </c>
      <c r="I68" s="49" t="str">
        <f ca="1">IFERROR(INDEX('Gantt Cutover'!$I$6:$I$63,MATCH(22,'Gantt Cutover'!$BA$6:$BA$63,0)),"")</f>
        <v/>
      </c>
      <c r="J68" s="50" t="str">
        <f ca="1">IFERROR(INDEX('Gantt Cutover'!$J$6:$J$63,MATCH(22,'Gantt Cutover'!$BA$6:$BA$63,0)),"")</f>
        <v/>
      </c>
      <c r="K68" s="50" t="str">
        <f ca="1">IFERROR(INDEX('Gantt Cutover'!$K$6:$K$63,MATCH(22,'Gantt Cutover'!$BA$6:$BA$63,0)),"")</f>
        <v/>
      </c>
      <c r="L68" s="48" t="str">
        <f ca="1">IFERROR(INDEX('Gantt Cutover'!$M$6:$M$63,MATCH(22,'Gantt Cutover'!$BA$6:$BA$63,0)),"")</f>
        <v/>
      </c>
    </row>
    <row r="69" spans="2:12" ht="27.75" customHeight="1" x14ac:dyDescent="0.3">
      <c r="B69" s="47">
        <v>23</v>
      </c>
      <c r="C69" s="48" t="str">
        <f ca="1">IFERROR(INDEX('Gantt Cutover'!$A$6:$A$63,MATCH(23,'Gantt Cutover'!$BA$6:$BA$63,0)),"")</f>
        <v/>
      </c>
      <c r="D69" s="48" t="str">
        <f ca="1">IFERROR(INDEX('Gantt Cutover'!$B$6:$B$63,MATCH(23,'Gantt Cutover'!$BA$6:$BA$63,0)),"")</f>
        <v/>
      </c>
      <c r="E69" s="49" t="str">
        <f ca="1">IFERROR(INDEX('Gantt Cutover'!$C$6:$C$63,MATCH(23,'Gantt Cutover'!$BA$6:$BA$63,0)),"")</f>
        <v/>
      </c>
      <c r="F69" s="49" t="str">
        <f ca="1">IFERROR(INDEX('Gantt Cutover'!$G$6:$G$63,MATCH(23,'Gantt Cutover'!$BA$6:$BA$63,0)),"")</f>
        <v/>
      </c>
      <c r="G69" s="49" t="str">
        <f ca="1">IFERROR(INDEX('Equipo y Calendario'!$B$5:$B$24,MATCH(F69,'Equipo y Calendario'!$A$5:$A$24,0)),"")</f>
        <v/>
      </c>
      <c r="H69" s="49" t="str">
        <f ca="1">IFERROR(INDEX('Gantt Cutover'!$H$6:$H$63,MATCH(23,'Gantt Cutover'!$BA$6:$BA$63,0)),"")</f>
        <v/>
      </c>
      <c r="I69" s="49" t="str">
        <f ca="1">IFERROR(INDEX('Gantt Cutover'!$I$6:$I$63,MATCH(23,'Gantt Cutover'!$BA$6:$BA$63,0)),"")</f>
        <v/>
      </c>
      <c r="J69" s="50" t="str">
        <f ca="1">IFERROR(INDEX('Gantt Cutover'!$J$6:$J$63,MATCH(23,'Gantt Cutover'!$BA$6:$BA$63,0)),"")</f>
        <v/>
      </c>
      <c r="K69" s="50" t="str">
        <f ca="1">IFERROR(INDEX('Gantt Cutover'!$K$6:$K$63,MATCH(23,'Gantt Cutover'!$BA$6:$BA$63,0)),"")</f>
        <v/>
      </c>
      <c r="L69" s="48" t="str">
        <f ca="1">IFERROR(INDEX('Gantt Cutover'!$M$6:$M$63,MATCH(23,'Gantt Cutover'!$BA$6:$BA$63,0)),"")</f>
        <v/>
      </c>
    </row>
    <row r="70" spans="2:12" ht="27.75" customHeight="1" x14ac:dyDescent="0.3">
      <c r="B70" s="47">
        <v>24</v>
      </c>
      <c r="C70" s="48" t="str">
        <f ca="1">IFERROR(INDEX('Gantt Cutover'!$A$6:$A$63,MATCH(24,'Gantt Cutover'!$BA$6:$BA$63,0)),"")</f>
        <v/>
      </c>
      <c r="D70" s="48" t="str">
        <f ca="1">IFERROR(INDEX('Gantt Cutover'!$B$6:$B$63,MATCH(24,'Gantt Cutover'!$BA$6:$BA$63,0)),"")</f>
        <v/>
      </c>
      <c r="E70" s="49" t="str">
        <f ca="1">IFERROR(INDEX('Gantt Cutover'!$C$6:$C$63,MATCH(24,'Gantt Cutover'!$BA$6:$BA$63,0)),"")</f>
        <v/>
      </c>
      <c r="F70" s="49" t="str">
        <f ca="1">IFERROR(INDEX('Gantt Cutover'!$G$6:$G$63,MATCH(24,'Gantt Cutover'!$BA$6:$BA$63,0)),"")</f>
        <v/>
      </c>
      <c r="G70" s="49" t="str">
        <f ca="1">IFERROR(INDEX('Equipo y Calendario'!$B$5:$B$24,MATCH(F70,'Equipo y Calendario'!$A$5:$A$24,0)),"")</f>
        <v/>
      </c>
      <c r="H70" s="49" t="str">
        <f ca="1">IFERROR(INDEX('Gantt Cutover'!$H$6:$H$63,MATCH(24,'Gantt Cutover'!$BA$6:$BA$63,0)),"")</f>
        <v/>
      </c>
      <c r="I70" s="49" t="str">
        <f ca="1">IFERROR(INDEX('Gantt Cutover'!$I$6:$I$63,MATCH(24,'Gantt Cutover'!$BA$6:$BA$63,0)),"")</f>
        <v/>
      </c>
      <c r="J70" s="50" t="str">
        <f ca="1">IFERROR(INDEX('Gantt Cutover'!$J$6:$J$63,MATCH(24,'Gantt Cutover'!$BA$6:$BA$63,0)),"")</f>
        <v/>
      </c>
      <c r="K70" s="50" t="str">
        <f ca="1">IFERROR(INDEX('Gantt Cutover'!$K$6:$K$63,MATCH(24,'Gantt Cutover'!$BA$6:$BA$63,0)),"")</f>
        <v/>
      </c>
      <c r="L70" s="48" t="str">
        <f ca="1">IFERROR(INDEX('Gantt Cutover'!$M$6:$M$63,MATCH(24,'Gantt Cutover'!$BA$6:$BA$63,0)),"")</f>
        <v/>
      </c>
    </row>
    <row r="71" spans="2:12" ht="27.75" customHeight="1" x14ac:dyDescent="0.3">
      <c r="B71" s="47">
        <v>25</v>
      </c>
      <c r="C71" s="48" t="str">
        <f ca="1">IFERROR(INDEX('Gantt Cutover'!$A$6:$A$63,MATCH(25,'Gantt Cutover'!$BA$6:$BA$63,0)),"")</f>
        <v/>
      </c>
      <c r="D71" s="48" t="str">
        <f ca="1">IFERROR(INDEX('Gantt Cutover'!$B$6:$B$63,MATCH(25,'Gantt Cutover'!$BA$6:$BA$63,0)),"")</f>
        <v/>
      </c>
      <c r="E71" s="49" t="str">
        <f ca="1">IFERROR(INDEX('Gantt Cutover'!$C$6:$C$63,MATCH(25,'Gantt Cutover'!$BA$6:$BA$63,0)),"")</f>
        <v/>
      </c>
      <c r="F71" s="49" t="str">
        <f ca="1">IFERROR(INDEX('Gantt Cutover'!$G$6:$G$63,MATCH(25,'Gantt Cutover'!$BA$6:$BA$63,0)),"")</f>
        <v/>
      </c>
      <c r="G71" s="49" t="str">
        <f ca="1">IFERROR(INDEX('Equipo y Calendario'!$B$5:$B$24,MATCH(F71,'Equipo y Calendario'!$A$5:$A$24,0)),"")</f>
        <v/>
      </c>
      <c r="H71" s="49" t="str">
        <f ca="1">IFERROR(INDEX('Gantt Cutover'!$H$6:$H$63,MATCH(25,'Gantt Cutover'!$BA$6:$BA$63,0)),"")</f>
        <v/>
      </c>
      <c r="I71" s="49" t="str">
        <f ca="1">IFERROR(INDEX('Gantt Cutover'!$I$6:$I$63,MATCH(25,'Gantt Cutover'!$BA$6:$BA$63,0)),"")</f>
        <v/>
      </c>
      <c r="J71" s="50" t="str">
        <f ca="1">IFERROR(INDEX('Gantt Cutover'!$J$6:$J$63,MATCH(25,'Gantt Cutover'!$BA$6:$BA$63,0)),"")</f>
        <v/>
      </c>
      <c r="K71" s="50" t="str">
        <f ca="1">IFERROR(INDEX('Gantt Cutover'!$K$6:$K$63,MATCH(25,'Gantt Cutover'!$BA$6:$BA$63,0)),"")</f>
        <v/>
      </c>
      <c r="L71" s="48" t="str">
        <f ca="1">IFERROR(INDEX('Gantt Cutover'!$M$6:$M$63,MATCH(25,'Gantt Cutover'!$BA$6:$BA$63,0)),"")</f>
        <v/>
      </c>
    </row>
    <row r="72" spans="2:12" ht="27.75" customHeight="1" x14ac:dyDescent="0.3">
      <c r="B72" s="47">
        <v>26</v>
      </c>
      <c r="C72" s="48" t="str">
        <f ca="1">IFERROR(INDEX('Gantt Cutover'!$A$6:$A$63,MATCH(26,'Gantt Cutover'!$BA$6:$BA$63,0)),"")</f>
        <v/>
      </c>
      <c r="D72" s="48" t="str">
        <f ca="1">IFERROR(INDEX('Gantt Cutover'!$B$6:$B$63,MATCH(26,'Gantt Cutover'!$BA$6:$BA$63,0)),"")</f>
        <v/>
      </c>
      <c r="E72" s="49" t="str">
        <f ca="1">IFERROR(INDEX('Gantt Cutover'!$C$6:$C$63,MATCH(26,'Gantt Cutover'!$BA$6:$BA$63,0)),"")</f>
        <v/>
      </c>
      <c r="F72" s="49" t="str">
        <f ca="1">IFERROR(INDEX('Gantt Cutover'!$G$6:$G$63,MATCH(26,'Gantt Cutover'!$BA$6:$BA$63,0)),"")</f>
        <v/>
      </c>
      <c r="G72" s="49" t="str">
        <f ca="1">IFERROR(INDEX('Equipo y Calendario'!$B$5:$B$24,MATCH(F72,'Equipo y Calendario'!$A$5:$A$24,0)),"")</f>
        <v/>
      </c>
      <c r="H72" s="49" t="str">
        <f ca="1">IFERROR(INDEX('Gantt Cutover'!$H$6:$H$63,MATCH(26,'Gantt Cutover'!$BA$6:$BA$63,0)),"")</f>
        <v/>
      </c>
      <c r="I72" s="49" t="str">
        <f ca="1">IFERROR(INDEX('Gantt Cutover'!$I$6:$I$63,MATCH(26,'Gantt Cutover'!$BA$6:$BA$63,0)),"")</f>
        <v/>
      </c>
      <c r="J72" s="50" t="str">
        <f ca="1">IFERROR(INDEX('Gantt Cutover'!$J$6:$J$63,MATCH(26,'Gantt Cutover'!$BA$6:$BA$63,0)),"")</f>
        <v/>
      </c>
      <c r="K72" s="50" t="str">
        <f ca="1">IFERROR(INDEX('Gantt Cutover'!$K$6:$K$63,MATCH(26,'Gantt Cutover'!$BA$6:$BA$63,0)),"")</f>
        <v/>
      </c>
      <c r="L72" s="48" t="str">
        <f ca="1">IFERROR(INDEX('Gantt Cutover'!$M$6:$M$63,MATCH(26,'Gantt Cutover'!$BA$6:$BA$63,0)),"")</f>
        <v/>
      </c>
    </row>
    <row r="73" spans="2:12" ht="27.75" customHeight="1" x14ac:dyDescent="0.3">
      <c r="B73" s="47">
        <v>27</v>
      </c>
      <c r="C73" s="48" t="str">
        <f ca="1">IFERROR(INDEX('Gantt Cutover'!$A$6:$A$63,MATCH(27,'Gantt Cutover'!$BA$6:$BA$63,0)),"")</f>
        <v/>
      </c>
      <c r="D73" s="48" t="str">
        <f ca="1">IFERROR(INDEX('Gantt Cutover'!$B$6:$B$63,MATCH(27,'Gantt Cutover'!$BA$6:$BA$63,0)),"")</f>
        <v/>
      </c>
      <c r="E73" s="49" t="str">
        <f ca="1">IFERROR(INDEX('Gantt Cutover'!$C$6:$C$63,MATCH(27,'Gantt Cutover'!$BA$6:$BA$63,0)),"")</f>
        <v/>
      </c>
      <c r="F73" s="49" t="str">
        <f ca="1">IFERROR(INDEX('Gantt Cutover'!$G$6:$G$63,MATCH(27,'Gantt Cutover'!$BA$6:$BA$63,0)),"")</f>
        <v/>
      </c>
      <c r="G73" s="49" t="str">
        <f ca="1">IFERROR(INDEX('Equipo y Calendario'!$B$5:$B$24,MATCH(F73,'Equipo y Calendario'!$A$5:$A$24,0)),"")</f>
        <v/>
      </c>
      <c r="H73" s="49" t="str">
        <f ca="1">IFERROR(INDEX('Gantt Cutover'!$H$6:$H$63,MATCH(27,'Gantt Cutover'!$BA$6:$BA$63,0)),"")</f>
        <v/>
      </c>
      <c r="I73" s="49" t="str">
        <f ca="1">IFERROR(INDEX('Gantt Cutover'!$I$6:$I$63,MATCH(27,'Gantt Cutover'!$BA$6:$BA$63,0)),"")</f>
        <v/>
      </c>
      <c r="J73" s="50" t="str">
        <f ca="1">IFERROR(INDEX('Gantt Cutover'!$J$6:$J$63,MATCH(27,'Gantt Cutover'!$BA$6:$BA$63,0)),"")</f>
        <v/>
      </c>
      <c r="K73" s="50" t="str">
        <f ca="1">IFERROR(INDEX('Gantt Cutover'!$K$6:$K$63,MATCH(27,'Gantt Cutover'!$BA$6:$BA$63,0)),"")</f>
        <v/>
      </c>
      <c r="L73" s="48" t="str">
        <f ca="1">IFERROR(INDEX('Gantt Cutover'!$M$6:$M$63,MATCH(27,'Gantt Cutover'!$BA$6:$BA$63,0)),"")</f>
        <v/>
      </c>
    </row>
    <row r="74" spans="2:12" ht="27.75" customHeight="1" x14ac:dyDescent="0.3">
      <c r="B74" s="47">
        <v>28</v>
      </c>
      <c r="C74" s="48" t="str">
        <f ca="1">IFERROR(INDEX('Gantt Cutover'!$A$6:$A$63,MATCH(28,'Gantt Cutover'!$BA$6:$BA$63,0)),"")</f>
        <v/>
      </c>
      <c r="D74" s="48" t="str">
        <f ca="1">IFERROR(INDEX('Gantt Cutover'!$B$6:$B$63,MATCH(28,'Gantt Cutover'!$BA$6:$BA$63,0)),"")</f>
        <v/>
      </c>
      <c r="E74" s="49" t="str">
        <f ca="1">IFERROR(INDEX('Gantt Cutover'!$C$6:$C$63,MATCH(28,'Gantt Cutover'!$BA$6:$BA$63,0)),"")</f>
        <v/>
      </c>
      <c r="F74" s="49" t="str">
        <f ca="1">IFERROR(INDEX('Gantt Cutover'!$G$6:$G$63,MATCH(28,'Gantt Cutover'!$BA$6:$BA$63,0)),"")</f>
        <v/>
      </c>
      <c r="G74" s="49" t="str">
        <f ca="1">IFERROR(INDEX('Equipo y Calendario'!$B$5:$B$24,MATCH(F74,'Equipo y Calendario'!$A$5:$A$24,0)),"")</f>
        <v/>
      </c>
      <c r="H74" s="49" t="str">
        <f ca="1">IFERROR(INDEX('Gantt Cutover'!$H$6:$H$63,MATCH(28,'Gantt Cutover'!$BA$6:$BA$63,0)),"")</f>
        <v/>
      </c>
      <c r="I74" s="49" t="str">
        <f ca="1">IFERROR(INDEX('Gantt Cutover'!$I$6:$I$63,MATCH(28,'Gantt Cutover'!$BA$6:$BA$63,0)),"")</f>
        <v/>
      </c>
      <c r="J74" s="50" t="str">
        <f ca="1">IFERROR(INDEX('Gantt Cutover'!$J$6:$J$63,MATCH(28,'Gantt Cutover'!$BA$6:$BA$63,0)),"")</f>
        <v/>
      </c>
      <c r="K74" s="50" t="str">
        <f ca="1">IFERROR(INDEX('Gantt Cutover'!$K$6:$K$63,MATCH(28,'Gantt Cutover'!$BA$6:$BA$63,0)),"")</f>
        <v/>
      </c>
      <c r="L74" s="48" t="str">
        <f ca="1">IFERROR(INDEX('Gantt Cutover'!$M$6:$M$63,MATCH(28,'Gantt Cutover'!$BA$6:$BA$63,0)),"")</f>
        <v/>
      </c>
    </row>
    <row r="75" spans="2:12" ht="27.75" customHeight="1" x14ac:dyDescent="0.3">
      <c r="B75" s="47">
        <v>29</v>
      </c>
      <c r="C75" s="48" t="str">
        <f ca="1">IFERROR(INDEX('Gantt Cutover'!$A$6:$A$63,MATCH(29,'Gantt Cutover'!$BA$6:$BA$63,0)),"")</f>
        <v/>
      </c>
      <c r="D75" s="48" t="str">
        <f ca="1">IFERROR(INDEX('Gantt Cutover'!$B$6:$B$63,MATCH(29,'Gantt Cutover'!$BA$6:$BA$63,0)),"")</f>
        <v/>
      </c>
      <c r="E75" s="49" t="str">
        <f ca="1">IFERROR(INDEX('Gantt Cutover'!$C$6:$C$63,MATCH(29,'Gantt Cutover'!$BA$6:$BA$63,0)),"")</f>
        <v/>
      </c>
      <c r="F75" s="49" t="str">
        <f ca="1">IFERROR(INDEX('Gantt Cutover'!$G$6:$G$63,MATCH(29,'Gantt Cutover'!$BA$6:$BA$63,0)),"")</f>
        <v/>
      </c>
      <c r="G75" s="49" t="str">
        <f ca="1">IFERROR(INDEX('Equipo y Calendario'!$B$5:$B$24,MATCH(F75,'Equipo y Calendario'!$A$5:$A$24,0)),"")</f>
        <v/>
      </c>
      <c r="H75" s="49" t="str">
        <f ca="1">IFERROR(INDEX('Gantt Cutover'!$H$6:$H$63,MATCH(29,'Gantt Cutover'!$BA$6:$BA$63,0)),"")</f>
        <v/>
      </c>
      <c r="I75" s="49" t="str">
        <f ca="1">IFERROR(INDEX('Gantt Cutover'!$I$6:$I$63,MATCH(29,'Gantt Cutover'!$BA$6:$BA$63,0)),"")</f>
        <v/>
      </c>
      <c r="J75" s="50" t="str">
        <f ca="1">IFERROR(INDEX('Gantt Cutover'!$J$6:$J$63,MATCH(29,'Gantt Cutover'!$BA$6:$BA$63,0)),"")</f>
        <v/>
      </c>
      <c r="K75" s="50" t="str">
        <f ca="1">IFERROR(INDEX('Gantt Cutover'!$K$6:$K$63,MATCH(29,'Gantt Cutover'!$BA$6:$BA$63,0)),"")</f>
        <v/>
      </c>
      <c r="L75" s="48" t="str">
        <f ca="1">IFERROR(INDEX('Gantt Cutover'!$M$6:$M$63,MATCH(29,'Gantt Cutover'!$BA$6:$BA$63,0)),"")</f>
        <v/>
      </c>
    </row>
    <row r="76" spans="2:12" ht="27.75" customHeight="1" x14ac:dyDescent="0.3">
      <c r="B76" s="47">
        <v>30</v>
      </c>
      <c r="C76" s="48" t="str">
        <f ca="1">IFERROR(INDEX('Gantt Cutover'!$A$6:$A$63,MATCH(30,'Gantt Cutover'!$BA$6:$BA$63,0)),"")</f>
        <v/>
      </c>
      <c r="D76" s="48" t="str">
        <f ca="1">IFERROR(INDEX('Gantt Cutover'!$B$6:$B$63,MATCH(30,'Gantt Cutover'!$BA$6:$BA$63,0)),"")</f>
        <v/>
      </c>
      <c r="E76" s="49" t="str">
        <f ca="1">IFERROR(INDEX('Gantt Cutover'!$C$6:$C$63,MATCH(30,'Gantt Cutover'!$BA$6:$BA$63,0)),"")</f>
        <v/>
      </c>
      <c r="F76" s="49" t="str">
        <f ca="1">IFERROR(INDEX('Gantt Cutover'!$G$6:$G$63,MATCH(30,'Gantt Cutover'!$BA$6:$BA$63,0)),"")</f>
        <v/>
      </c>
      <c r="G76" s="49" t="str">
        <f ca="1">IFERROR(INDEX('Equipo y Calendario'!$B$5:$B$24,MATCH(F76,'Equipo y Calendario'!$A$5:$A$24,0)),"")</f>
        <v/>
      </c>
      <c r="H76" s="49" t="str">
        <f ca="1">IFERROR(INDEX('Gantt Cutover'!$H$6:$H$63,MATCH(30,'Gantt Cutover'!$BA$6:$BA$63,0)),"")</f>
        <v/>
      </c>
      <c r="I76" s="49" t="str">
        <f ca="1">IFERROR(INDEX('Gantt Cutover'!$I$6:$I$63,MATCH(30,'Gantt Cutover'!$BA$6:$BA$63,0)),"")</f>
        <v/>
      </c>
      <c r="J76" s="50" t="str">
        <f ca="1">IFERROR(INDEX('Gantt Cutover'!$J$6:$J$63,MATCH(30,'Gantt Cutover'!$BA$6:$BA$63,0)),"")</f>
        <v/>
      </c>
      <c r="K76" s="50" t="str">
        <f ca="1">IFERROR(INDEX('Gantt Cutover'!$K$6:$K$63,MATCH(30,'Gantt Cutover'!$BA$6:$BA$63,0)),"")</f>
        <v/>
      </c>
      <c r="L76" s="48" t="str">
        <f ca="1">IFERROR(INDEX('Gantt Cutover'!$M$6:$M$63,MATCH(30,'Gantt Cutover'!$BA$6:$BA$63,0)),"")</f>
        <v/>
      </c>
    </row>
    <row r="77" spans="2:12" ht="27.75" customHeight="1" x14ac:dyDescent="0.3">
      <c r="B77" s="47">
        <v>31</v>
      </c>
      <c r="C77" s="48" t="str">
        <f ca="1">IFERROR(INDEX('Gantt Cutover'!$A$6:$A$63,MATCH(31,'Gantt Cutover'!$BA$6:$BA$63,0)),"")</f>
        <v/>
      </c>
      <c r="D77" s="48" t="str">
        <f ca="1">IFERROR(INDEX('Gantt Cutover'!$B$6:$B$63,MATCH(31,'Gantt Cutover'!$BA$6:$BA$63,0)),"")</f>
        <v/>
      </c>
      <c r="E77" s="49" t="str">
        <f ca="1">IFERROR(INDEX('Gantt Cutover'!$C$6:$C$63,MATCH(31,'Gantt Cutover'!$BA$6:$BA$63,0)),"")</f>
        <v/>
      </c>
      <c r="F77" s="49" t="str">
        <f ca="1">IFERROR(INDEX('Gantt Cutover'!$G$6:$G$63,MATCH(31,'Gantt Cutover'!$BA$6:$BA$63,0)),"")</f>
        <v/>
      </c>
      <c r="G77" s="49" t="str">
        <f ca="1">IFERROR(INDEX('Equipo y Calendario'!$B$5:$B$24,MATCH(F77,'Equipo y Calendario'!$A$5:$A$24,0)),"")</f>
        <v/>
      </c>
      <c r="H77" s="49" t="str">
        <f ca="1">IFERROR(INDEX('Gantt Cutover'!$H$6:$H$63,MATCH(31,'Gantt Cutover'!$BA$6:$BA$63,0)),"")</f>
        <v/>
      </c>
      <c r="I77" s="49" t="str">
        <f ca="1">IFERROR(INDEX('Gantt Cutover'!$I$6:$I$63,MATCH(31,'Gantt Cutover'!$BA$6:$BA$63,0)),"")</f>
        <v/>
      </c>
      <c r="J77" s="50" t="str">
        <f ca="1">IFERROR(INDEX('Gantt Cutover'!$J$6:$J$63,MATCH(31,'Gantt Cutover'!$BA$6:$BA$63,0)),"")</f>
        <v/>
      </c>
      <c r="K77" s="50" t="str">
        <f ca="1">IFERROR(INDEX('Gantt Cutover'!$K$6:$K$63,MATCH(31,'Gantt Cutover'!$BA$6:$BA$63,0)),"")</f>
        <v/>
      </c>
      <c r="L77" s="48" t="str">
        <f ca="1">IFERROR(INDEX('Gantt Cutover'!$M$6:$M$63,MATCH(31,'Gantt Cutover'!$BA$6:$BA$63,0)),"")</f>
        <v/>
      </c>
    </row>
    <row r="78" spans="2:12" ht="27.75" customHeight="1" x14ac:dyDescent="0.3">
      <c r="B78" s="47">
        <v>32</v>
      </c>
      <c r="C78" s="48" t="str">
        <f ca="1">IFERROR(INDEX('Gantt Cutover'!$A$6:$A$63,MATCH(32,'Gantt Cutover'!$BA$6:$BA$63,0)),"")</f>
        <v/>
      </c>
      <c r="D78" s="48" t="str">
        <f ca="1">IFERROR(INDEX('Gantt Cutover'!$B$6:$B$63,MATCH(32,'Gantt Cutover'!$BA$6:$BA$63,0)),"")</f>
        <v/>
      </c>
      <c r="E78" s="49" t="str">
        <f ca="1">IFERROR(INDEX('Gantt Cutover'!$C$6:$C$63,MATCH(32,'Gantt Cutover'!$BA$6:$BA$63,0)),"")</f>
        <v/>
      </c>
      <c r="F78" s="49" t="str">
        <f ca="1">IFERROR(INDEX('Gantt Cutover'!$G$6:$G$63,MATCH(32,'Gantt Cutover'!$BA$6:$BA$63,0)),"")</f>
        <v/>
      </c>
      <c r="G78" s="49" t="str">
        <f ca="1">IFERROR(INDEX('Equipo y Calendario'!$B$5:$B$24,MATCH(F78,'Equipo y Calendario'!$A$5:$A$24,0)),"")</f>
        <v/>
      </c>
      <c r="H78" s="49" t="str">
        <f ca="1">IFERROR(INDEX('Gantt Cutover'!$H$6:$H$63,MATCH(32,'Gantt Cutover'!$BA$6:$BA$63,0)),"")</f>
        <v/>
      </c>
      <c r="I78" s="49" t="str">
        <f ca="1">IFERROR(INDEX('Gantt Cutover'!$I$6:$I$63,MATCH(32,'Gantt Cutover'!$BA$6:$BA$63,0)),"")</f>
        <v/>
      </c>
      <c r="J78" s="50" t="str">
        <f ca="1">IFERROR(INDEX('Gantt Cutover'!$J$6:$J$63,MATCH(32,'Gantt Cutover'!$BA$6:$BA$63,0)),"")</f>
        <v/>
      </c>
      <c r="K78" s="50" t="str">
        <f ca="1">IFERROR(INDEX('Gantt Cutover'!$K$6:$K$63,MATCH(32,'Gantt Cutover'!$BA$6:$BA$63,0)),"")</f>
        <v/>
      </c>
      <c r="L78" s="48" t="str">
        <f ca="1">IFERROR(INDEX('Gantt Cutover'!$M$6:$M$63,MATCH(32,'Gantt Cutover'!$BA$6:$BA$63,0)),"")</f>
        <v/>
      </c>
    </row>
    <row r="79" spans="2:12" ht="27.75" customHeight="1" x14ac:dyDescent="0.3">
      <c r="B79" s="47">
        <v>33</v>
      </c>
      <c r="C79" s="48" t="str">
        <f ca="1">IFERROR(INDEX('Gantt Cutover'!$A$6:$A$63,MATCH(33,'Gantt Cutover'!$BA$6:$BA$63,0)),"")</f>
        <v/>
      </c>
      <c r="D79" s="48" t="str">
        <f ca="1">IFERROR(INDEX('Gantt Cutover'!$B$6:$B$63,MATCH(33,'Gantt Cutover'!$BA$6:$BA$63,0)),"")</f>
        <v/>
      </c>
      <c r="E79" s="49" t="str">
        <f ca="1">IFERROR(INDEX('Gantt Cutover'!$C$6:$C$63,MATCH(33,'Gantt Cutover'!$BA$6:$BA$63,0)),"")</f>
        <v/>
      </c>
      <c r="F79" s="49" t="str">
        <f ca="1">IFERROR(INDEX('Gantt Cutover'!$G$6:$G$63,MATCH(33,'Gantt Cutover'!$BA$6:$BA$63,0)),"")</f>
        <v/>
      </c>
      <c r="G79" s="49" t="str">
        <f ca="1">IFERROR(INDEX('Equipo y Calendario'!$B$5:$B$24,MATCH(F79,'Equipo y Calendario'!$A$5:$A$24,0)),"")</f>
        <v/>
      </c>
      <c r="H79" s="49" t="str">
        <f ca="1">IFERROR(INDEX('Gantt Cutover'!$H$6:$H$63,MATCH(33,'Gantt Cutover'!$BA$6:$BA$63,0)),"")</f>
        <v/>
      </c>
      <c r="I79" s="49" t="str">
        <f ca="1">IFERROR(INDEX('Gantt Cutover'!$I$6:$I$63,MATCH(33,'Gantt Cutover'!$BA$6:$BA$63,0)),"")</f>
        <v/>
      </c>
      <c r="J79" s="50" t="str">
        <f ca="1">IFERROR(INDEX('Gantt Cutover'!$J$6:$J$63,MATCH(33,'Gantt Cutover'!$BA$6:$BA$63,0)),"")</f>
        <v/>
      </c>
      <c r="K79" s="50" t="str">
        <f ca="1">IFERROR(INDEX('Gantt Cutover'!$K$6:$K$63,MATCH(33,'Gantt Cutover'!$BA$6:$BA$63,0)),"")</f>
        <v/>
      </c>
      <c r="L79" s="48" t="str">
        <f ca="1">IFERROR(INDEX('Gantt Cutover'!$M$6:$M$63,MATCH(33,'Gantt Cutover'!$BA$6:$BA$63,0)),"")</f>
        <v/>
      </c>
    </row>
    <row r="80" spans="2:12" ht="27.75" customHeight="1" x14ac:dyDescent="0.3">
      <c r="B80" s="47">
        <v>34</v>
      </c>
      <c r="C80" s="48" t="str">
        <f ca="1">IFERROR(INDEX('Gantt Cutover'!$A$6:$A$63,MATCH(34,'Gantt Cutover'!$BA$6:$BA$63,0)),"")</f>
        <v/>
      </c>
      <c r="D80" s="48" t="str">
        <f ca="1">IFERROR(INDEX('Gantt Cutover'!$B$6:$B$63,MATCH(34,'Gantt Cutover'!$BA$6:$BA$63,0)),"")</f>
        <v/>
      </c>
      <c r="E80" s="49" t="str">
        <f ca="1">IFERROR(INDEX('Gantt Cutover'!$C$6:$C$63,MATCH(34,'Gantt Cutover'!$BA$6:$BA$63,0)),"")</f>
        <v/>
      </c>
      <c r="F80" s="49" t="str">
        <f ca="1">IFERROR(INDEX('Gantt Cutover'!$G$6:$G$63,MATCH(34,'Gantt Cutover'!$BA$6:$BA$63,0)),"")</f>
        <v/>
      </c>
      <c r="G80" s="49" t="str">
        <f ca="1">IFERROR(INDEX('Equipo y Calendario'!$B$5:$B$24,MATCH(F80,'Equipo y Calendario'!$A$5:$A$24,0)),"")</f>
        <v/>
      </c>
      <c r="H80" s="49" t="str">
        <f ca="1">IFERROR(INDEX('Gantt Cutover'!$H$6:$H$63,MATCH(34,'Gantt Cutover'!$BA$6:$BA$63,0)),"")</f>
        <v/>
      </c>
      <c r="I80" s="49" t="str">
        <f ca="1">IFERROR(INDEX('Gantt Cutover'!$I$6:$I$63,MATCH(34,'Gantt Cutover'!$BA$6:$BA$63,0)),"")</f>
        <v/>
      </c>
      <c r="J80" s="50" t="str">
        <f ca="1">IFERROR(INDEX('Gantt Cutover'!$J$6:$J$63,MATCH(34,'Gantt Cutover'!$BA$6:$BA$63,0)),"")</f>
        <v/>
      </c>
      <c r="K80" s="50" t="str">
        <f ca="1">IFERROR(INDEX('Gantt Cutover'!$K$6:$K$63,MATCH(34,'Gantt Cutover'!$BA$6:$BA$63,0)),"")</f>
        <v/>
      </c>
      <c r="L80" s="48" t="str">
        <f ca="1">IFERROR(INDEX('Gantt Cutover'!$M$6:$M$63,MATCH(34,'Gantt Cutover'!$BA$6:$BA$63,0)),"")</f>
        <v/>
      </c>
    </row>
    <row r="81" spans="2:12" ht="27.75" customHeight="1" x14ac:dyDescent="0.3">
      <c r="B81" s="47">
        <v>35</v>
      </c>
      <c r="C81" s="48" t="str">
        <f ca="1">IFERROR(INDEX('Gantt Cutover'!$A$6:$A$63,MATCH(35,'Gantt Cutover'!$BA$6:$BA$63,0)),"")</f>
        <v/>
      </c>
      <c r="D81" s="48" t="str">
        <f ca="1">IFERROR(INDEX('Gantt Cutover'!$B$6:$B$63,MATCH(35,'Gantt Cutover'!$BA$6:$BA$63,0)),"")</f>
        <v/>
      </c>
      <c r="E81" s="49" t="str">
        <f ca="1">IFERROR(INDEX('Gantt Cutover'!$C$6:$C$63,MATCH(35,'Gantt Cutover'!$BA$6:$BA$63,0)),"")</f>
        <v/>
      </c>
      <c r="F81" s="49" t="str">
        <f ca="1">IFERROR(INDEX('Gantt Cutover'!$G$6:$G$63,MATCH(35,'Gantt Cutover'!$BA$6:$BA$63,0)),"")</f>
        <v/>
      </c>
      <c r="G81" s="49" t="str">
        <f ca="1">IFERROR(INDEX('Equipo y Calendario'!$B$5:$B$24,MATCH(F81,'Equipo y Calendario'!$A$5:$A$24,0)),"")</f>
        <v/>
      </c>
      <c r="H81" s="49" t="str">
        <f ca="1">IFERROR(INDEX('Gantt Cutover'!$H$6:$H$63,MATCH(35,'Gantt Cutover'!$BA$6:$BA$63,0)),"")</f>
        <v/>
      </c>
      <c r="I81" s="49" t="str">
        <f ca="1">IFERROR(INDEX('Gantt Cutover'!$I$6:$I$63,MATCH(35,'Gantt Cutover'!$BA$6:$BA$63,0)),"")</f>
        <v/>
      </c>
      <c r="J81" s="50" t="str">
        <f ca="1">IFERROR(INDEX('Gantt Cutover'!$J$6:$J$63,MATCH(35,'Gantt Cutover'!$BA$6:$BA$63,0)),"")</f>
        <v/>
      </c>
      <c r="K81" s="50" t="str">
        <f ca="1">IFERROR(INDEX('Gantt Cutover'!$K$6:$K$63,MATCH(35,'Gantt Cutover'!$BA$6:$BA$63,0)),"")</f>
        <v/>
      </c>
      <c r="L81" s="48" t="str">
        <f ca="1">IFERROR(INDEX('Gantt Cutover'!$M$6:$M$63,MATCH(35,'Gantt Cutover'!$BA$6:$BA$63,0)),"")</f>
        <v/>
      </c>
    </row>
    <row r="82" spans="2:12" ht="27.75" customHeight="1" x14ac:dyDescent="0.3">
      <c r="B82" s="47">
        <v>36</v>
      </c>
      <c r="C82" s="48" t="str">
        <f ca="1">IFERROR(INDEX('Gantt Cutover'!$A$6:$A$63,MATCH(36,'Gantt Cutover'!$BA$6:$BA$63,0)),"")</f>
        <v/>
      </c>
      <c r="D82" s="48" t="str">
        <f ca="1">IFERROR(INDEX('Gantt Cutover'!$B$6:$B$63,MATCH(36,'Gantt Cutover'!$BA$6:$BA$63,0)),"")</f>
        <v/>
      </c>
      <c r="E82" s="49" t="str">
        <f ca="1">IFERROR(INDEX('Gantt Cutover'!$C$6:$C$63,MATCH(36,'Gantt Cutover'!$BA$6:$BA$63,0)),"")</f>
        <v/>
      </c>
      <c r="F82" s="49" t="str">
        <f ca="1">IFERROR(INDEX('Gantt Cutover'!$G$6:$G$63,MATCH(36,'Gantt Cutover'!$BA$6:$BA$63,0)),"")</f>
        <v/>
      </c>
      <c r="G82" s="49" t="str">
        <f ca="1">IFERROR(INDEX('Equipo y Calendario'!$B$5:$B$24,MATCH(F82,'Equipo y Calendario'!$A$5:$A$24,0)),"")</f>
        <v/>
      </c>
      <c r="H82" s="49" t="str">
        <f ca="1">IFERROR(INDEX('Gantt Cutover'!$H$6:$H$63,MATCH(36,'Gantt Cutover'!$BA$6:$BA$63,0)),"")</f>
        <v/>
      </c>
      <c r="I82" s="49" t="str">
        <f ca="1">IFERROR(INDEX('Gantt Cutover'!$I$6:$I$63,MATCH(36,'Gantt Cutover'!$BA$6:$BA$63,0)),"")</f>
        <v/>
      </c>
      <c r="J82" s="50" t="str">
        <f ca="1">IFERROR(INDEX('Gantt Cutover'!$J$6:$J$63,MATCH(36,'Gantt Cutover'!$BA$6:$BA$63,0)),"")</f>
        <v/>
      </c>
      <c r="K82" s="50" t="str">
        <f ca="1">IFERROR(INDEX('Gantt Cutover'!$K$6:$K$63,MATCH(36,'Gantt Cutover'!$BA$6:$BA$63,0)),"")</f>
        <v/>
      </c>
      <c r="L82" s="48" t="str">
        <f ca="1">IFERROR(INDEX('Gantt Cutover'!$M$6:$M$63,MATCH(36,'Gantt Cutover'!$BA$6:$BA$63,0)),"")</f>
        <v/>
      </c>
    </row>
    <row r="83" spans="2:12" ht="27.75" customHeight="1" x14ac:dyDescent="0.3">
      <c r="B83" s="47">
        <v>37</v>
      </c>
      <c r="C83" s="48" t="str">
        <f ca="1">IFERROR(INDEX('Gantt Cutover'!$A$6:$A$63,MATCH(37,'Gantt Cutover'!$BA$6:$BA$63,0)),"")</f>
        <v/>
      </c>
      <c r="D83" s="48" t="str">
        <f ca="1">IFERROR(INDEX('Gantt Cutover'!$B$6:$B$63,MATCH(37,'Gantt Cutover'!$BA$6:$BA$63,0)),"")</f>
        <v/>
      </c>
      <c r="E83" s="49" t="str">
        <f ca="1">IFERROR(INDEX('Gantt Cutover'!$C$6:$C$63,MATCH(37,'Gantt Cutover'!$BA$6:$BA$63,0)),"")</f>
        <v/>
      </c>
      <c r="F83" s="49" t="str">
        <f ca="1">IFERROR(INDEX('Gantt Cutover'!$G$6:$G$63,MATCH(37,'Gantt Cutover'!$BA$6:$BA$63,0)),"")</f>
        <v/>
      </c>
      <c r="G83" s="49" t="str">
        <f ca="1">IFERROR(INDEX('Equipo y Calendario'!$B$5:$B$24,MATCH(F83,'Equipo y Calendario'!$A$5:$A$24,0)),"")</f>
        <v/>
      </c>
      <c r="H83" s="49" t="str">
        <f ca="1">IFERROR(INDEX('Gantt Cutover'!$H$6:$H$63,MATCH(37,'Gantt Cutover'!$BA$6:$BA$63,0)),"")</f>
        <v/>
      </c>
      <c r="I83" s="49" t="str">
        <f ca="1">IFERROR(INDEX('Gantt Cutover'!$I$6:$I$63,MATCH(37,'Gantt Cutover'!$BA$6:$BA$63,0)),"")</f>
        <v/>
      </c>
      <c r="J83" s="50" t="str">
        <f ca="1">IFERROR(INDEX('Gantt Cutover'!$J$6:$J$63,MATCH(37,'Gantt Cutover'!$BA$6:$BA$63,0)),"")</f>
        <v/>
      </c>
      <c r="K83" s="50" t="str">
        <f ca="1">IFERROR(INDEX('Gantt Cutover'!$K$6:$K$63,MATCH(37,'Gantt Cutover'!$BA$6:$BA$63,0)),"")</f>
        <v/>
      </c>
      <c r="L83" s="48" t="str">
        <f ca="1">IFERROR(INDEX('Gantt Cutover'!$M$6:$M$63,MATCH(37,'Gantt Cutover'!$BA$6:$BA$63,0)),"")</f>
        <v/>
      </c>
    </row>
    <row r="84" spans="2:12" ht="27.75" customHeight="1" x14ac:dyDescent="0.3">
      <c r="B84" s="47">
        <v>38</v>
      </c>
      <c r="C84" s="48" t="str">
        <f ca="1">IFERROR(INDEX('Gantt Cutover'!$A$6:$A$63,MATCH(38,'Gantt Cutover'!$BA$6:$BA$63,0)),"")</f>
        <v/>
      </c>
      <c r="D84" s="48" t="str">
        <f ca="1">IFERROR(INDEX('Gantt Cutover'!$B$6:$B$63,MATCH(38,'Gantt Cutover'!$BA$6:$BA$63,0)),"")</f>
        <v/>
      </c>
      <c r="E84" s="49" t="str">
        <f ca="1">IFERROR(INDEX('Gantt Cutover'!$C$6:$C$63,MATCH(38,'Gantt Cutover'!$BA$6:$BA$63,0)),"")</f>
        <v/>
      </c>
      <c r="F84" s="49" t="str">
        <f ca="1">IFERROR(INDEX('Gantt Cutover'!$G$6:$G$63,MATCH(38,'Gantt Cutover'!$BA$6:$BA$63,0)),"")</f>
        <v/>
      </c>
      <c r="G84" s="49" t="str">
        <f ca="1">IFERROR(INDEX('Equipo y Calendario'!$B$5:$B$24,MATCH(F84,'Equipo y Calendario'!$A$5:$A$24,0)),"")</f>
        <v/>
      </c>
      <c r="H84" s="49" t="str">
        <f ca="1">IFERROR(INDEX('Gantt Cutover'!$H$6:$H$63,MATCH(38,'Gantt Cutover'!$BA$6:$BA$63,0)),"")</f>
        <v/>
      </c>
      <c r="I84" s="49" t="str">
        <f ca="1">IFERROR(INDEX('Gantt Cutover'!$I$6:$I$63,MATCH(38,'Gantt Cutover'!$BA$6:$BA$63,0)),"")</f>
        <v/>
      </c>
      <c r="J84" s="50" t="str">
        <f ca="1">IFERROR(INDEX('Gantt Cutover'!$J$6:$J$63,MATCH(38,'Gantt Cutover'!$BA$6:$BA$63,0)),"")</f>
        <v/>
      </c>
      <c r="K84" s="50" t="str">
        <f ca="1">IFERROR(INDEX('Gantt Cutover'!$K$6:$K$63,MATCH(38,'Gantt Cutover'!$BA$6:$BA$63,0)),"")</f>
        <v/>
      </c>
      <c r="L84" s="48" t="str">
        <f ca="1">IFERROR(INDEX('Gantt Cutover'!$M$6:$M$63,MATCH(38,'Gantt Cutover'!$BA$6:$BA$63,0)),"")</f>
        <v/>
      </c>
    </row>
    <row r="85" spans="2:12" ht="27.75" customHeight="1" x14ac:dyDescent="0.3">
      <c r="B85" s="47">
        <v>39</v>
      </c>
      <c r="C85" s="48" t="str">
        <f ca="1">IFERROR(INDEX('Gantt Cutover'!$A$6:$A$63,MATCH(39,'Gantt Cutover'!$BA$6:$BA$63,0)),"")</f>
        <v/>
      </c>
      <c r="D85" s="48" t="str">
        <f ca="1">IFERROR(INDEX('Gantt Cutover'!$B$6:$B$63,MATCH(39,'Gantt Cutover'!$BA$6:$BA$63,0)),"")</f>
        <v/>
      </c>
      <c r="E85" s="49" t="str">
        <f ca="1">IFERROR(INDEX('Gantt Cutover'!$C$6:$C$63,MATCH(39,'Gantt Cutover'!$BA$6:$BA$63,0)),"")</f>
        <v/>
      </c>
      <c r="F85" s="49" t="str">
        <f ca="1">IFERROR(INDEX('Gantt Cutover'!$G$6:$G$63,MATCH(39,'Gantt Cutover'!$BA$6:$BA$63,0)),"")</f>
        <v/>
      </c>
      <c r="G85" s="49" t="str">
        <f ca="1">IFERROR(INDEX('Equipo y Calendario'!$B$5:$B$24,MATCH(F85,'Equipo y Calendario'!$A$5:$A$24,0)),"")</f>
        <v/>
      </c>
      <c r="H85" s="49" t="str">
        <f ca="1">IFERROR(INDEX('Gantt Cutover'!$H$6:$H$63,MATCH(39,'Gantt Cutover'!$BA$6:$BA$63,0)),"")</f>
        <v/>
      </c>
      <c r="I85" s="49" t="str">
        <f ca="1">IFERROR(INDEX('Gantt Cutover'!$I$6:$I$63,MATCH(39,'Gantt Cutover'!$BA$6:$BA$63,0)),"")</f>
        <v/>
      </c>
      <c r="J85" s="50" t="str">
        <f ca="1">IFERROR(INDEX('Gantt Cutover'!$J$6:$J$63,MATCH(39,'Gantt Cutover'!$BA$6:$BA$63,0)),"")</f>
        <v/>
      </c>
      <c r="K85" s="50" t="str">
        <f ca="1">IFERROR(INDEX('Gantt Cutover'!$K$6:$K$63,MATCH(39,'Gantt Cutover'!$BA$6:$BA$63,0)),"")</f>
        <v/>
      </c>
      <c r="L85" s="48" t="str">
        <f ca="1">IFERROR(INDEX('Gantt Cutover'!$M$6:$M$63,MATCH(39,'Gantt Cutover'!$BA$6:$BA$63,0)),"")</f>
        <v/>
      </c>
    </row>
    <row r="86" spans="2:12" ht="27.75" customHeight="1" x14ac:dyDescent="0.3">
      <c r="B86" s="47">
        <v>40</v>
      </c>
      <c r="C86" s="48" t="str">
        <f ca="1">IFERROR(INDEX('Gantt Cutover'!$A$6:$A$63,MATCH(40,'Gantt Cutover'!$BA$6:$BA$63,0)),"")</f>
        <v/>
      </c>
      <c r="D86" s="48" t="str">
        <f ca="1">IFERROR(INDEX('Gantt Cutover'!$B$6:$B$63,MATCH(40,'Gantt Cutover'!$BA$6:$BA$63,0)),"")</f>
        <v/>
      </c>
      <c r="E86" s="49" t="str">
        <f ca="1">IFERROR(INDEX('Gantt Cutover'!$C$6:$C$63,MATCH(40,'Gantt Cutover'!$BA$6:$BA$63,0)),"")</f>
        <v/>
      </c>
      <c r="F86" s="49" t="str">
        <f ca="1">IFERROR(INDEX('Gantt Cutover'!$G$6:$G$63,MATCH(40,'Gantt Cutover'!$BA$6:$BA$63,0)),"")</f>
        <v/>
      </c>
      <c r="G86" s="49" t="str">
        <f ca="1">IFERROR(INDEX('Equipo y Calendario'!$B$5:$B$24,MATCH(F86,'Equipo y Calendario'!$A$5:$A$24,0)),"")</f>
        <v/>
      </c>
      <c r="H86" s="49" t="str">
        <f ca="1">IFERROR(INDEX('Gantt Cutover'!$H$6:$H$63,MATCH(40,'Gantt Cutover'!$BA$6:$BA$63,0)),"")</f>
        <v/>
      </c>
      <c r="I86" s="49" t="str">
        <f ca="1">IFERROR(INDEX('Gantt Cutover'!$I$6:$I$63,MATCH(40,'Gantt Cutover'!$BA$6:$BA$63,0)),"")</f>
        <v/>
      </c>
      <c r="J86" s="50" t="str">
        <f ca="1">IFERROR(INDEX('Gantt Cutover'!$J$6:$J$63,MATCH(40,'Gantt Cutover'!$BA$6:$BA$63,0)),"")</f>
        <v/>
      </c>
      <c r="K86" s="50" t="str">
        <f ca="1">IFERROR(INDEX('Gantt Cutover'!$K$6:$K$63,MATCH(40,'Gantt Cutover'!$BA$6:$BA$63,0)),"")</f>
        <v/>
      </c>
      <c r="L86" s="48" t="str">
        <f ca="1">IFERROR(INDEX('Gantt Cutover'!$M$6:$M$63,MATCH(40,'Gantt Cutover'!$BA$6:$BA$63,0)),"")</f>
        <v/>
      </c>
    </row>
    <row r="87" spans="2:12" ht="27.75" customHeight="1" x14ac:dyDescent="0.3">
      <c r="B87" s="47">
        <v>41</v>
      </c>
      <c r="C87" s="48" t="str">
        <f ca="1">IFERROR(INDEX('Gantt Cutover'!$A$6:$A$63,MATCH(41,'Gantt Cutover'!$BA$6:$BA$63,0)),"")</f>
        <v/>
      </c>
      <c r="D87" s="48" t="str">
        <f ca="1">IFERROR(INDEX('Gantt Cutover'!$B$6:$B$63,MATCH(41,'Gantt Cutover'!$BA$6:$BA$63,0)),"")</f>
        <v/>
      </c>
      <c r="E87" s="49" t="str">
        <f ca="1">IFERROR(INDEX('Gantt Cutover'!$C$6:$C$63,MATCH(41,'Gantt Cutover'!$BA$6:$BA$63,0)),"")</f>
        <v/>
      </c>
      <c r="F87" s="49" t="str">
        <f ca="1">IFERROR(INDEX('Gantt Cutover'!$G$6:$G$63,MATCH(41,'Gantt Cutover'!$BA$6:$BA$63,0)),"")</f>
        <v/>
      </c>
      <c r="G87" s="49" t="str">
        <f ca="1">IFERROR(INDEX('Equipo y Calendario'!$B$5:$B$24,MATCH(F87,'Equipo y Calendario'!$A$5:$A$24,0)),"")</f>
        <v/>
      </c>
      <c r="H87" s="49" t="str">
        <f ca="1">IFERROR(INDEX('Gantt Cutover'!$H$6:$H$63,MATCH(41,'Gantt Cutover'!$BA$6:$BA$63,0)),"")</f>
        <v/>
      </c>
      <c r="I87" s="49" t="str">
        <f ca="1">IFERROR(INDEX('Gantt Cutover'!$I$6:$I$63,MATCH(41,'Gantt Cutover'!$BA$6:$BA$63,0)),"")</f>
        <v/>
      </c>
      <c r="J87" s="50" t="str">
        <f ca="1">IFERROR(INDEX('Gantt Cutover'!$J$6:$J$63,MATCH(41,'Gantt Cutover'!$BA$6:$BA$63,0)),"")</f>
        <v/>
      </c>
      <c r="K87" s="50" t="str">
        <f ca="1">IFERROR(INDEX('Gantt Cutover'!$K$6:$K$63,MATCH(41,'Gantt Cutover'!$BA$6:$BA$63,0)),"")</f>
        <v/>
      </c>
      <c r="L87" s="48" t="str">
        <f ca="1">IFERROR(INDEX('Gantt Cutover'!$M$6:$M$63,MATCH(41,'Gantt Cutover'!$BA$6:$BA$63,0)),"")</f>
        <v/>
      </c>
    </row>
    <row r="88" spans="2:12" ht="27.75" customHeight="1" x14ac:dyDescent="0.3">
      <c r="B88" s="47">
        <v>42</v>
      </c>
      <c r="C88" s="48" t="str">
        <f ca="1">IFERROR(INDEX('Gantt Cutover'!$A$6:$A$63,MATCH(42,'Gantt Cutover'!$BA$6:$BA$63,0)),"")</f>
        <v/>
      </c>
      <c r="D88" s="48" t="str">
        <f ca="1">IFERROR(INDEX('Gantt Cutover'!$B$6:$B$63,MATCH(42,'Gantt Cutover'!$BA$6:$BA$63,0)),"")</f>
        <v/>
      </c>
      <c r="E88" s="49" t="str">
        <f ca="1">IFERROR(INDEX('Gantt Cutover'!$C$6:$C$63,MATCH(42,'Gantt Cutover'!$BA$6:$BA$63,0)),"")</f>
        <v/>
      </c>
      <c r="F88" s="49" t="str">
        <f ca="1">IFERROR(INDEX('Gantt Cutover'!$G$6:$G$63,MATCH(42,'Gantt Cutover'!$BA$6:$BA$63,0)),"")</f>
        <v/>
      </c>
      <c r="G88" s="49" t="str">
        <f ca="1">IFERROR(INDEX('Equipo y Calendario'!$B$5:$B$24,MATCH(F88,'Equipo y Calendario'!$A$5:$A$24,0)),"")</f>
        <v/>
      </c>
      <c r="H88" s="49" t="str">
        <f ca="1">IFERROR(INDEX('Gantt Cutover'!$H$6:$H$63,MATCH(42,'Gantt Cutover'!$BA$6:$BA$63,0)),"")</f>
        <v/>
      </c>
      <c r="I88" s="49" t="str">
        <f ca="1">IFERROR(INDEX('Gantt Cutover'!$I$6:$I$63,MATCH(42,'Gantt Cutover'!$BA$6:$BA$63,0)),"")</f>
        <v/>
      </c>
      <c r="J88" s="50" t="str">
        <f ca="1">IFERROR(INDEX('Gantt Cutover'!$J$6:$J$63,MATCH(42,'Gantt Cutover'!$BA$6:$BA$63,0)),"")</f>
        <v/>
      </c>
      <c r="K88" s="50" t="str">
        <f ca="1">IFERROR(INDEX('Gantt Cutover'!$K$6:$K$63,MATCH(42,'Gantt Cutover'!$BA$6:$BA$63,0)),"")</f>
        <v/>
      </c>
      <c r="L88" s="48" t="str">
        <f ca="1">IFERROR(INDEX('Gantt Cutover'!$M$6:$M$63,MATCH(42,'Gantt Cutover'!$BA$6:$BA$63,0)),"")</f>
        <v/>
      </c>
    </row>
    <row r="89" spans="2:12" ht="27.75" customHeight="1" x14ac:dyDescent="0.3">
      <c r="B89" s="47">
        <v>43</v>
      </c>
      <c r="C89" s="48" t="str">
        <f ca="1">IFERROR(INDEX('Gantt Cutover'!$A$6:$A$63,MATCH(43,'Gantt Cutover'!$BA$6:$BA$63,0)),"")</f>
        <v/>
      </c>
      <c r="D89" s="48" t="str">
        <f ca="1">IFERROR(INDEX('Gantt Cutover'!$B$6:$B$63,MATCH(43,'Gantt Cutover'!$BA$6:$BA$63,0)),"")</f>
        <v/>
      </c>
      <c r="E89" s="49" t="str">
        <f ca="1">IFERROR(INDEX('Gantt Cutover'!$C$6:$C$63,MATCH(43,'Gantt Cutover'!$BA$6:$BA$63,0)),"")</f>
        <v/>
      </c>
      <c r="F89" s="49" t="str">
        <f ca="1">IFERROR(INDEX('Gantt Cutover'!$G$6:$G$63,MATCH(43,'Gantt Cutover'!$BA$6:$BA$63,0)),"")</f>
        <v/>
      </c>
      <c r="G89" s="49" t="str">
        <f ca="1">IFERROR(INDEX('Equipo y Calendario'!$B$5:$B$24,MATCH(F89,'Equipo y Calendario'!$A$5:$A$24,0)),"")</f>
        <v/>
      </c>
      <c r="H89" s="49" t="str">
        <f ca="1">IFERROR(INDEX('Gantt Cutover'!$H$6:$H$63,MATCH(43,'Gantt Cutover'!$BA$6:$BA$63,0)),"")</f>
        <v/>
      </c>
      <c r="I89" s="49" t="str">
        <f ca="1">IFERROR(INDEX('Gantt Cutover'!$I$6:$I$63,MATCH(43,'Gantt Cutover'!$BA$6:$BA$63,0)),"")</f>
        <v/>
      </c>
      <c r="J89" s="50" t="str">
        <f ca="1">IFERROR(INDEX('Gantt Cutover'!$J$6:$J$63,MATCH(43,'Gantt Cutover'!$BA$6:$BA$63,0)),"")</f>
        <v/>
      </c>
      <c r="K89" s="50" t="str">
        <f ca="1">IFERROR(INDEX('Gantt Cutover'!$K$6:$K$63,MATCH(43,'Gantt Cutover'!$BA$6:$BA$63,0)),"")</f>
        <v/>
      </c>
      <c r="L89" s="48" t="str">
        <f ca="1">IFERROR(INDEX('Gantt Cutover'!$M$6:$M$63,MATCH(43,'Gantt Cutover'!$BA$6:$BA$63,0)),"")</f>
        <v/>
      </c>
    </row>
    <row r="90" spans="2:12" ht="27.75" customHeight="1" x14ac:dyDescent="0.3">
      <c r="B90" s="47">
        <v>44</v>
      </c>
      <c r="C90" s="48" t="str">
        <f ca="1">IFERROR(INDEX('Gantt Cutover'!$A$6:$A$63,MATCH(44,'Gantt Cutover'!$BA$6:$BA$63,0)),"")</f>
        <v/>
      </c>
      <c r="D90" s="48" t="str">
        <f ca="1">IFERROR(INDEX('Gantt Cutover'!$B$6:$B$63,MATCH(44,'Gantt Cutover'!$BA$6:$BA$63,0)),"")</f>
        <v/>
      </c>
      <c r="E90" s="49" t="str">
        <f ca="1">IFERROR(INDEX('Gantt Cutover'!$C$6:$C$63,MATCH(44,'Gantt Cutover'!$BA$6:$BA$63,0)),"")</f>
        <v/>
      </c>
      <c r="F90" s="49" t="str">
        <f ca="1">IFERROR(INDEX('Gantt Cutover'!$G$6:$G$63,MATCH(44,'Gantt Cutover'!$BA$6:$BA$63,0)),"")</f>
        <v/>
      </c>
      <c r="G90" s="49" t="str">
        <f ca="1">IFERROR(INDEX('Equipo y Calendario'!$B$5:$B$24,MATCH(F90,'Equipo y Calendario'!$A$5:$A$24,0)),"")</f>
        <v/>
      </c>
      <c r="H90" s="49" t="str">
        <f ca="1">IFERROR(INDEX('Gantt Cutover'!$H$6:$H$63,MATCH(44,'Gantt Cutover'!$BA$6:$BA$63,0)),"")</f>
        <v/>
      </c>
      <c r="I90" s="49" t="str">
        <f ca="1">IFERROR(INDEX('Gantt Cutover'!$I$6:$I$63,MATCH(44,'Gantt Cutover'!$BA$6:$BA$63,0)),"")</f>
        <v/>
      </c>
      <c r="J90" s="50" t="str">
        <f ca="1">IFERROR(INDEX('Gantt Cutover'!$J$6:$J$63,MATCH(44,'Gantt Cutover'!$BA$6:$BA$63,0)),"")</f>
        <v/>
      </c>
      <c r="K90" s="50" t="str">
        <f ca="1">IFERROR(INDEX('Gantt Cutover'!$K$6:$K$63,MATCH(44,'Gantt Cutover'!$BA$6:$BA$63,0)),"")</f>
        <v/>
      </c>
      <c r="L90" s="48" t="str">
        <f ca="1">IFERROR(INDEX('Gantt Cutover'!$M$6:$M$63,MATCH(44,'Gantt Cutover'!$BA$6:$BA$63,0)),"")</f>
        <v/>
      </c>
    </row>
    <row r="91" spans="2:12" ht="27.75" customHeight="1" x14ac:dyDescent="0.3">
      <c r="B91" s="47">
        <v>45</v>
      </c>
      <c r="C91" s="48" t="str">
        <f ca="1">IFERROR(INDEX('Gantt Cutover'!$A$6:$A$63,MATCH(45,'Gantt Cutover'!$BA$6:$BA$63,0)),"")</f>
        <v/>
      </c>
      <c r="D91" s="48" t="str">
        <f ca="1">IFERROR(INDEX('Gantt Cutover'!$B$6:$B$63,MATCH(45,'Gantt Cutover'!$BA$6:$BA$63,0)),"")</f>
        <v/>
      </c>
      <c r="E91" s="49" t="str">
        <f ca="1">IFERROR(INDEX('Gantt Cutover'!$C$6:$C$63,MATCH(45,'Gantt Cutover'!$BA$6:$BA$63,0)),"")</f>
        <v/>
      </c>
      <c r="F91" s="49" t="str">
        <f ca="1">IFERROR(INDEX('Gantt Cutover'!$G$6:$G$63,MATCH(45,'Gantt Cutover'!$BA$6:$BA$63,0)),"")</f>
        <v/>
      </c>
      <c r="G91" s="49" t="str">
        <f ca="1">IFERROR(INDEX('Equipo y Calendario'!$B$5:$B$24,MATCH(F91,'Equipo y Calendario'!$A$5:$A$24,0)),"")</f>
        <v/>
      </c>
      <c r="H91" s="49" t="str">
        <f ca="1">IFERROR(INDEX('Gantt Cutover'!$H$6:$H$63,MATCH(45,'Gantt Cutover'!$BA$6:$BA$63,0)),"")</f>
        <v/>
      </c>
      <c r="I91" s="49" t="str">
        <f ca="1">IFERROR(INDEX('Gantt Cutover'!$I$6:$I$63,MATCH(45,'Gantt Cutover'!$BA$6:$BA$63,0)),"")</f>
        <v/>
      </c>
      <c r="J91" s="50" t="str">
        <f ca="1">IFERROR(INDEX('Gantt Cutover'!$J$6:$J$63,MATCH(45,'Gantt Cutover'!$BA$6:$BA$63,0)),"")</f>
        <v/>
      </c>
      <c r="K91" s="50" t="str">
        <f ca="1">IFERROR(INDEX('Gantt Cutover'!$K$6:$K$63,MATCH(45,'Gantt Cutover'!$BA$6:$BA$63,0)),"")</f>
        <v/>
      </c>
      <c r="L91" s="48" t="str">
        <f ca="1">IFERROR(INDEX('Gantt Cutover'!$M$6:$M$63,MATCH(45,'Gantt Cutover'!$BA$6:$BA$63,0)),"")</f>
        <v/>
      </c>
    </row>
    <row r="92" spans="2:12" ht="27.75" customHeight="1" x14ac:dyDescent="0.3">
      <c r="B92" s="47">
        <v>46</v>
      </c>
      <c r="C92" s="48" t="str">
        <f ca="1">IFERROR(INDEX('Gantt Cutover'!$A$6:$A$63,MATCH(46,'Gantt Cutover'!$BA$6:$BA$63,0)),"")</f>
        <v/>
      </c>
      <c r="D92" s="48" t="str">
        <f ca="1">IFERROR(INDEX('Gantt Cutover'!$B$6:$B$63,MATCH(46,'Gantt Cutover'!$BA$6:$BA$63,0)),"")</f>
        <v/>
      </c>
      <c r="E92" s="49" t="str">
        <f ca="1">IFERROR(INDEX('Gantt Cutover'!$C$6:$C$63,MATCH(46,'Gantt Cutover'!$BA$6:$BA$63,0)),"")</f>
        <v/>
      </c>
      <c r="F92" s="49" t="str">
        <f ca="1">IFERROR(INDEX('Gantt Cutover'!$G$6:$G$63,MATCH(46,'Gantt Cutover'!$BA$6:$BA$63,0)),"")</f>
        <v/>
      </c>
      <c r="G92" s="49" t="str">
        <f ca="1">IFERROR(INDEX('Equipo y Calendario'!$B$5:$B$24,MATCH(F92,'Equipo y Calendario'!$A$5:$A$24,0)),"")</f>
        <v/>
      </c>
      <c r="H92" s="49" t="str">
        <f ca="1">IFERROR(INDEX('Gantt Cutover'!$H$6:$H$63,MATCH(46,'Gantt Cutover'!$BA$6:$BA$63,0)),"")</f>
        <v/>
      </c>
      <c r="I92" s="49" t="str">
        <f ca="1">IFERROR(INDEX('Gantt Cutover'!$I$6:$I$63,MATCH(46,'Gantt Cutover'!$BA$6:$BA$63,0)),"")</f>
        <v/>
      </c>
      <c r="J92" s="50" t="str">
        <f ca="1">IFERROR(INDEX('Gantt Cutover'!$J$6:$J$63,MATCH(46,'Gantt Cutover'!$BA$6:$BA$63,0)),"")</f>
        <v/>
      </c>
      <c r="K92" s="50" t="str">
        <f ca="1">IFERROR(INDEX('Gantt Cutover'!$K$6:$K$63,MATCH(46,'Gantt Cutover'!$BA$6:$BA$63,0)),"")</f>
        <v/>
      </c>
      <c r="L92" s="48" t="str">
        <f ca="1">IFERROR(INDEX('Gantt Cutover'!$M$6:$M$63,MATCH(46,'Gantt Cutover'!$BA$6:$BA$63,0)),"")</f>
        <v/>
      </c>
    </row>
    <row r="93" spans="2:12" ht="27.75" customHeight="1" x14ac:dyDescent="0.3">
      <c r="B93" s="47">
        <v>47</v>
      </c>
      <c r="C93" s="48" t="str">
        <f ca="1">IFERROR(INDEX('Gantt Cutover'!$A$6:$A$63,MATCH(47,'Gantt Cutover'!$BA$6:$BA$63,0)),"")</f>
        <v/>
      </c>
      <c r="D93" s="48" t="str">
        <f ca="1">IFERROR(INDEX('Gantt Cutover'!$B$6:$B$63,MATCH(47,'Gantt Cutover'!$BA$6:$BA$63,0)),"")</f>
        <v/>
      </c>
      <c r="E93" s="49" t="str">
        <f ca="1">IFERROR(INDEX('Gantt Cutover'!$C$6:$C$63,MATCH(47,'Gantt Cutover'!$BA$6:$BA$63,0)),"")</f>
        <v/>
      </c>
      <c r="F93" s="49" t="str">
        <f ca="1">IFERROR(INDEX('Gantt Cutover'!$G$6:$G$63,MATCH(47,'Gantt Cutover'!$BA$6:$BA$63,0)),"")</f>
        <v/>
      </c>
      <c r="G93" s="49" t="str">
        <f ca="1">IFERROR(INDEX('Equipo y Calendario'!$B$5:$B$24,MATCH(F93,'Equipo y Calendario'!$A$5:$A$24,0)),"")</f>
        <v/>
      </c>
      <c r="H93" s="49" t="str">
        <f ca="1">IFERROR(INDEX('Gantt Cutover'!$H$6:$H$63,MATCH(47,'Gantt Cutover'!$BA$6:$BA$63,0)),"")</f>
        <v/>
      </c>
      <c r="I93" s="49" t="str">
        <f ca="1">IFERROR(INDEX('Gantt Cutover'!$I$6:$I$63,MATCH(47,'Gantt Cutover'!$BA$6:$BA$63,0)),"")</f>
        <v/>
      </c>
      <c r="J93" s="50" t="str">
        <f ca="1">IFERROR(INDEX('Gantt Cutover'!$J$6:$J$63,MATCH(47,'Gantt Cutover'!$BA$6:$BA$63,0)),"")</f>
        <v/>
      </c>
      <c r="K93" s="50" t="str">
        <f ca="1">IFERROR(INDEX('Gantt Cutover'!$K$6:$K$63,MATCH(47,'Gantt Cutover'!$BA$6:$BA$63,0)),"")</f>
        <v/>
      </c>
      <c r="L93" s="48" t="str">
        <f ca="1">IFERROR(INDEX('Gantt Cutover'!$M$6:$M$63,MATCH(47,'Gantt Cutover'!$BA$6:$BA$63,0)),"")</f>
        <v/>
      </c>
    </row>
    <row r="94" spans="2:12" ht="27.75" customHeight="1" x14ac:dyDescent="0.3">
      <c r="B94" s="47">
        <v>48</v>
      </c>
      <c r="C94" s="48" t="str">
        <f ca="1">IFERROR(INDEX('Gantt Cutover'!$A$6:$A$63,MATCH(48,'Gantt Cutover'!$BA$6:$BA$63,0)),"")</f>
        <v/>
      </c>
      <c r="D94" s="48" t="str">
        <f ca="1">IFERROR(INDEX('Gantt Cutover'!$B$6:$B$63,MATCH(48,'Gantt Cutover'!$BA$6:$BA$63,0)),"")</f>
        <v/>
      </c>
      <c r="E94" s="49" t="str">
        <f ca="1">IFERROR(INDEX('Gantt Cutover'!$C$6:$C$63,MATCH(48,'Gantt Cutover'!$BA$6:$BA$63,0)),"")</f>
        <v/>
      </c>
      <c r="F94" s="49" t="str">
        <f ca="1">IFERROR(INDEX('Gantt Cutover'!$G$6:$G$63,MATCH(48,'Gantt Cutover'!$BA$6:$BA$63,0)),"")</f>
        <v/>
      </c>
      <c r="G94" s="49" t="str">
        <f ca="1">IFERROR(INDEX('Equipo y Calendario'!$B$5:$B$24,MATCH(F94,'Equipo y Calendario'!$A$5:$A$24,0)),"")</f>
        <v/>
      </c>
      <c r="H94" s="49" t="str">
        <f ca="1">IFERROR(INDEX('Gantt Cutover'!$H$6:$H$63,MATCH(48,'Gantt Cutover'!$BA$6:$BA$63,0)),"")</f>
        <v/>
      </c>
      <c r="I94" s="49" t="str">
        <f ca="1">IFERROR(INDEX('Gantt Cutover'!$I$6:$I$63,MATCH(48,'Gantt Cutover'!$BA$6:$BA$63,0)),"")</f>
        <v/>
      </c>
      <c r="J94" s="50" t="str">
        <f ca="1">IFERROR(INDEX('Gantt Cutover'!$J$6:$J$63,MATCH(48,'Gantt Cutover'!$BA$6:$BA$63,0)),"")</f>
        <v/>
      </c>
      <c r="K94" s="50" t="str">
        <f ca="1">IFERROR(INDEX('Gantt Cutover'!$K$6:$K$63,MATCH(48,'Gantt Cutover'!$BA$6:$BA$63,0)),"")</f>
        <v/>
      </c>
      <c r="L94" s="48" t="str">
        <f ca="1">IFERROR(INDEX('Gantt Cutover'!$M$6:$M$63,MATCH(48,'Gantt Cutover'!$BA$6:$BA$63,0)),"")</f>
        <v/>
      </c>
    </row>
    <row r="95" spans="2:12" ht="27.75" customHeight="1" x14ac:dyDescent="0.3">
      <c r="B95" s="47">
        <v>49</v>
      </c>
      <c r="C95" s="48" t="str">
        <f ca="1">IFERROR(INDEX('Gantt Cutover'!$A$6:$A$63,MATCH(49,'Gantt Cutover'!$BA$6:$BA$63,0)),"")</f>
        <v/>
      </c>
      <c r="D95" s="48" t="str">
        <f ca="1">IFERROR(INDEX('Gantt Cutover'!$B$6:$B$63,MATCH(49,'Gantt Cutover'!$BA$6:$BA$63,0)),"")</f>
        <v/>
      </c>
      <c r="E95" s="49" t="str">
        <f ca="1">IFERROR(INDEX('Gantt Cutover'!$C$6:$C$63,MATCH(49,'Gantt Cutover'!$BA$6:$BA$63,0)),"")</f>
        <v/>
      </c>
      <c r="F95" s="49" t="str">
        <f ca="1">IFERROR(INDEX('Gantt Cutover'!$G$6:$G$63,MATCH(49,'Gantt Cutover'!$BA$6:$BA$63,0)),"")</f>
        <v/>
      </c>
      <c r="G95" s="49" t="str">
        <f ca="1">IFERROR(INDEX('Equipo y Calendario'!$B$5:$B$24,MATCH(F95,'Equipo y Calendario'!$A$5:$A$24,0)),"")</f>
        <v/>
      </c>
      <c r="H95" s="49" t="str">
        <f ca="1">IFERROR(INDEX('Gantt Cutover'!$H$6:$H$63,MATCH(49,'Gantt Cutover'!$BA$6:$BA$63,0)),"")</f>
        <v/>
      </c>
      <c r="I95" s="49" t="str">
        <f ca="1">IFERROR(INDEX('Gantt Cutover'!$I$6:$I$63,MATCH(49,'Gantt Cutover'!$BA$6:$BA$63,0)),"")</f>
        <v/>
      </c>
      <c r="J95" s="50" t="str">
        <f ca="1">IFERROR(INDEX('Gantt Cutover'!$J$6:$J$63,MATCH(49,'Gantt Cutover'!$BA$6:$BA$63,0)),"")</f>
        <v/>
      </c>
      <c r="K95" s="50" t="str">
        <f ca="1">IFERROR(INDEX('Gantt Cutover'!$K$6:$K$63,MATCH(49,'Gantt Cutover'!$BA$6:$BA$63,0)),"")</f>
        <v/>
      </c>
      <c r="L95" s="48" t="str">
        <f ca="1">IFERROR(INDEX('Gantt Cutover'!$M$6:$M$63,MATCH(49,'Gantt Cutover'!$BA$6:$BA$63,0)),"")</f>
        <v/>
      </c>
    </row>
    <row r="96" spans="2:12" ht="27.75" customHeight="1" x14ac:dyDescent="0.3">
      <c r="B96" s="47">
        <v>50</v>
      </c>
      <c r="C96" s="48" t="str">
        <f ca="1">IFERROR(INDEX('Gantt Cutover'!$A$6:$A$63,MATCH(50,'Gantt Cutover'!$BA$6:$BA$63,0)),"")</f>
        <v/>
      </c>
      <c r="D96" s="48" t="str">
        <f ca="1">IFERROR(INDEX('Gantt Cutover'!$B$6:$B$63,MATCH(50,'Gantt Cutover'!$BA$6:$BA$63,0)),"")</f>
        <v/>
      </c>
      <c r="E96" s="49" t="str">
        <f ca="1">IFERROR(INDEX('Gantt Cutover'!$C$6:$C$63,MATCH(50,'Gantt Cutover'!$BA$6:$BA$63,0)),"")</f>
        <v/>
      </c>
      <c r="F96" s="49" t="str">
        <f ca="1">IFERROR(INDEX('Gantt Cutover'!$G$6:$G$63,MATCH(50,'Gantt Cutover'!$BA$6:$BA$63,0)),"")</f>
        <v/>
      </c>
      <c r="G96" s="49" t="str">
        <f ca="1">IFERROR(INDEX('Equipo y Calendario'!$B$5:$B$24,MATCH(F96,'Equipo y Calendario'!$A$5:$A$24,0)),"")</f>
        <v/>
      </c>
      <c r="H96" s="49" t="str">
        <f ca="1">IFERROR(INDEX('Gantt Cutover'!$H$6:$H$63,MATCH(50,'Gantt Cutover'!$BA$6:$BA$63,0)),"")</f>
        <v/>
      </c>
      <c r="I96" s="49" t="str">
        <f ca="1">IFERROR(INDEX('Gantt Cutover'!$I$6:$I$63,MATCH(50,'Gantt Cutover'!$BA$6:$BA$63,0)),"")</f>
        <v/>
      </c>
      <c r="J96" s="50" t="str">
        <f ca="1">IFERROR(INDEX('Gantt Cutover'!$J$6:$J$63,MATCH(50,'Gantt Cutover'!$BA$6:$BA$63,0)),"")</f>
        <v/>
      </c>
      <c r="K96" s="50" t="str">
        <f ca="1">IFERROR(INDEX('Gantt Cutover'!$K$6:$K$63,MATCH(50,'Gantt Cutover'!$BA$6:$BA$63,0)),"")</f>
        <v/>
      </c>
      <c r="L96" s="48" t="str">
        <f ca="1">IFERROR(INDEX('Gantt Cutover'!$M$6:$M$63,MATCH(50,'Gantt Cutover'!$BA$6:$BA$63,0)),"")</f>
        <v/>
      </c>
    </row>
    <row r="97" spans="2:12" ht="27.75" customHeight="1" x14ac:dyDescent="0.3">
      <c r="B97" s="47">
        <v>51</v>
      </c>
      <c r="C97" s="48" t="str">
        <f ca="1">IFERROR(INDEX('Gantt Cutover'!$A$6:$A$63,MATCH(51,'Gantt Cutover'!$BA$6:$BA$63,0)),"")</f>
        <v/>
      </c>
      <c r="D97" s="48" t="str">
        <f ca="1">IFERROR(INDEX('Gantt Cutover'!$B$6:$B$63,MATCH(51,'Gantt Cutover'!$BA$6:$BA$63,0)),"")</f>
        <v/>
      </c>
      <c r="E97" s="49" t="str">
        <f ca="1">IFERROR(INDEX('Gantt Cutover'!$C$6:$C$63,MATCH(51,'Gantt Cutover'!$BA$6:$BA$63,0)),"")</f>
        <v/>
      </c>
      <c r="F97" s="49" t="str">
        <f ca="1">IFERROR(INDEX('Gantt Cutover'!$G$6:$G$63,MATCH(51,'Gantt Cutover'!$BA$6:$BA$63,0)),"")</f>
        <v/>
      </c>
      <c r="G97" s="49" t="str">
        <f ca="1">IFERROR(INDEX('Equipo y Calendario'!$B$5:$B$24,MATCH(F97,'Equipo y Calendario'!$A$5:$A$24,0)),"")</f>
        <v/>
      </c>
      <c r="H97" s="49" t="str">
        <f ca="1">IFERROR(INDEX('Gantt Cutover'!$H$6:$H$63,MATCH(51,'Gantt Cutover'!$BA$6:$BA$63,0)),"")</f>
        <v/>
      </c>
      <c r="I97" s="49" t="str">
        <f ca="1">IFERROR(INDEX('Gantt Cutover'!$I$6:$I$63,MATCH(51,'Gantt Cutover'!$BA$6:$BA$63,0)),"")</f>
        <v/>
      </c>
      <c r="J97" s="50" t="str">
        <f ca="1">IFERROR(INDEX('Gantt Cutover'!$J$6:$J$63,MATCH(51,'Gantt Cutover'!$BA$6:$BA$63,0)),"")</f>
        <v/>
      </c>
      <c r="K97" s="50" t="str">
        <f ca="1">IFERROR(INDEX('Gantt Cutover'!$K$6:$K$63,MATCH(51,'Gantt Cutover'!$BA$6:$BA$63,0)),"")</f>
        <v/>
      </c>
      <c r="L97" s="48" t="str">
        <f ca="1">IFERROR(INDEX('Gantt Cutover'!$M$6:$M$63,MATCH(51,'Gantt Cutover'!$BA$6:$BA$63,0)),"")</f>
        <v/>
      </c>
    </row>
    <row r="98" spans="2:12" ht="27.75" customHeight="1" x14ac:dyDescent="0.3">
      <c r="B98" s="47">
        <v>52</v>
      </c>
      <c r="C98" s="48" t="str">
        <f ca="1">IFERROR(INDEX('Gantt Cutover'!$A$6:$A$63,MATCH(52,'Gantt Cutover'!$BA$6:$BA$63,0)),"")</f>
        <v/>
      </c>
      <c r="D98" s="48" t="str">
        <f ca="1">IFERROR(INDEX('Gantt Cutover'!$B$6:$B$63,MATCH(52,'Gantt Cutover'!$BA$6:$BA$63,0)),"")</f>
        <v/>
      </c>
      <c r="E98" s="49" t="str">
        <f ca="1">IFERROR(INDEX('Gantt Cutover'!$C$6:$C$63,MATCH(52,'Gantt Cutover'!$BA$6:$BA$63,0)),"")</f>
        <v/>
      </c>
      <c r="F98" s="49" t="str">
        <f ca="1">IFERROR(INDEX('Gantt Cutover'!$G$6:$G$63,MATCH(52,'Gantt Cutover'!$BA$6:$BA$63,0)),"")</f>
        <v/>
      </c>
      <c r="G98" s="49" t="str">
        <f ca="1">IFERROR(INDEX('Equipo y Calendario'!$B$5:$B$24,MATCH(F98,'Equipo y Calendario'!$A$5:$A$24,0)),"")</f>
        <v/>
      </c>
      <c r="H98" s="49" t="str">
        <f ca="1">IFERROR(INDEX('Gantt Cutover'!$H$6:$H$63,MATCH(52,'Gantt Cutover'!$BA$6:$BA$63,0)),"")</f>
        <v/>
      </c>
      <c r="I98" s="49" t="str">
        <f ca="1">IFERROR(INDEX('Gantt Cutover'!$I$6:$I$63,MATCH(52,'Gantt Cutover'!$BA$6:$BA$63,0)),"")</f>
        <v/>
      </c>
      <c r="J98" s="50" t="str">
        <f ca="1">IFERROR(INDEX('Gantt Cutover'!$J$6:$J$63,MATCH(52,'Gantt Cutover'!$BA$6:$BA$63,0)),"")</f>
        <v/>
      </c>
      <c r="K98" s="50" t="str">
        <f ca="1">IFERROR(INDEX('Gantt Cutover'!$K$6:$K$63,MATCH(52,'Gantt Cutover'!$BA$6:$BA$63,0)),"")</f>
        <v/>
      </c>
      <c r="L98" s="48" t="str">
        <f ca="1">IFERROR(INDEX('Gantt Cutover'!$M$6:$M$63,MATCH(52,'Gantt Cutover'!$BA$6:$BA$63,0)),"")</f>
        <v/>
      </c>
    </row>
    <row r="99" spans="2:12" ht="27.75" customHeight="1" x14ac:dyDescent="0.3">
      <c r="B99" s="47">
        <v>53</v>
      </c>
      <c r="C99" s="48" t="str">
        <f ca="1">IFERROR(INDEX('Gantt Cutover'!$A$6:$A$63,MATCH(53,'Gantt Cutover'!$BA$6:$BA$63,0)),"")</f>
        <v/>
      </c>
      <c r="D99" s="48" t="str">
        <f ca="1">IFERROR(INDEX('Gantt Cutover'!$B$6:$B$63,MATCH(53,'Gantt Cutover'!$BA$6:$BA$63,0)),"")</f>
        <v/>
      </c>
      <c r="E99" s="49" t="str">
        <f ca="1">IFERROR(INDEX('Gantt Cutover'!$C$6:$C$63,MATCH(53,'Gantt Cutover'!$BA$6:$BA$63,0)),"")</f>
        <v/>
      </c>
      <c r="F99" s="49" t="str">
        <f ca="1">IFERROR(INDEX('Gantt Cutover'!$G$6:$G$63,MATCH(53,'Gantt Cutover'!$BA$6:$BA$63,0)),"")</f>
        <v/>
      </c>
      <c r="G99" s="49" t="str">
        <f ca="1">IFERROR(INDEX('Equipo y Calendario'!$B$5:$B$24,MATCH(F99,'Equipo y Calendario'!$A$5:$A$24,0)),"")</f>
        <v/>
      </c>
      <c r="H99" s="49" t="str">
        <f ca="1">IFERROR(INDEX('Gantt Cutover'!$H$6:$H$63,MATCH(53,'Gantt Cutover'!$BA$6:$BA$63,0)),"")</f>
        <v/>
      </c>
      <c r="I99" s="49" t="str">
        <f ca="1">IFERROR(INDEX('Gantt Cutover'!$I$6:$I$63,MATCH(53,'Gantt Cutover'!$BA$6:$BA$63,0)),"")</f>
        <v/>
      </c>
      <c r="J99" s="50" t="str">
        <f ca="1">IFERROR(INDEX('Gantt Cutover'!$J$6:$J$63,MATCH(53,'Gantt Cutover'!$BA$6:$BA$63,0)),"")</f>
        <v/>
      </c>
      <c r="K99" s="50" t="str">
        <f ca="1">IFERROR(INDEX('Gantt Cutover'!$K$6:$K$63,MATCH(53,'Gantt Cutover'!$BA$6:$BA$63,0)),"")</f>
        <v/>
      </c>
      <c r="L99" s="48" t="str">
        <f ca="1">IFERROR(INDEX('Gantt Cutover'!$M$6:$M$63,MATCH(53,'Gantt Cutover'!$BA$6:$BA$63,0)),"")</f>
        <v/>
      </c>
    </row>
    <row r="100" spans="2:12" ht="27.75" customHeight="1" x14ac:dyDescent="0.3">
      <c r="B100" s="47">
        <v>54</v>
      </c>
      <c r="C100" s="48" t="str">
        <f ca="1">IFERROR(INDEX('Gantt Cutover'!$A$6:$A$63,MATCH(54,'Gantt Cutover'!$BA$6:$BA$63,0)),"")</f>
        <v/>
      </c>
      <c r="D100" s="48" t="str">
        <f ca="1">IFERROR(INDEX('Gantt Cutover'!$B$6:$B$63,MATCH(54,'Gantt Cutover'!$BA$6:$BA$63,0)),"")</f>
        <v/>
      </c>
      <c r="E100" s="49" t="str">
        <f ca="1">IFERROR(INDEX('Gantt Cutover'!$C$6:$C$63,MATCH(54,'Gantt Cutover'!$BA$6:$BA$63,0)),"")</f>
        <v/>
      </c>
      <c r="F100" s="49" t="str">
        <f ca="1">IFERROR(INDEX('Gantt Cutover'!$G$6:$G$63,MATCH(54,'Gantt Cutover'!$BA$6:$BA$63,0)),"")</f>
        <v/>
      </c>
      <c r="G100" s="49" t="str">
        <f ca="1">IFERROR(INDEX('Equipo y Calendario'!$B$5:$B$24,MATCH(F100,'Equipo y Calendario'!$A$5:$A$24,0)),"")</f>
        <v/>
      </c>
      <c r="H100" s="49" t="str">
        <f ca="1">IFERROR(INDEX('Gantt Cutover'!$H$6:$H$63,MATCH(54,'Gantt Cutover'!$BA$6:$BA$63,0)),"")</f>
        <v/>
      </c>
      <c r="I100" s="49" t="str">
        <f ca="1">IFERROR(INDEX('Gantt Cutover'!$I$6:$I$63,MATCH(54,'Gantt Cutover'!$BA$6:$BA$63,0)),"")</f>
        <v/>
      </c>
      <c r="J100" s="50" t="str">
        <f ca="1">IFERROR(INDEX('Gantt Cutover'!$J$6:$J$63,MATCH(54,'Gantt Cutover'!$BA$6:$BA$63,0)),"")</f>
        <v/>
      </c>
      <c r="K100" s="50" t="str">
        <f ca="1">IFERROR(INDEX('Gantt Cutover'!$K$6:$K$63,MATCH(54,'Gantt Cutover'!$BA$6:$BA$63,0)),"")</f>
        <v/>
      </c>
      <c r="L100" s="48" t="str">
        <f ca="1">IFERROR(INDEX('Gantt Cutover'!$M$6:$M$63,MATCH(54,'Gantt Cutover'!$BA$6:$BA$63,0)),"")</f>
        <v/>
      </c>
    </row>
    <row r="101" spans="2:12" ht="27.75" customHeight="1" x14ac:dyDescent="0.3">
      <c r="B101" s="47">
        <v>55</v>
      </c>
      <c r="C101" s="48" t="str">
        <f ca="1">IFERROR(INDEX('Gantt Cutover'!$A$6:$A$63,MATCH(55,'Gantt Cutover'!$BA$6:$BA$63,0)),"")</f>
        <v/>
      </c>
      <c r="D101" s="48" t="str">
        <f ca="1">IFERROR(INDEX('Gantt Cutover'!$B$6:$B$63,MATCH(55,'Gantt Cutover'!$BA$6:$BA$63,0)),"")</f>
        <v/>
      </c>
      <c r="E101" s="49" t="str">
        <f ca="1">IFERROR(INDEX('Gantt Cutover'!$C$6:$C$63,MATCH(55,'Gantt Cutover'!$BA$6:$BA$63,0)),"")</f>
        <v/>
      </c>
      <c r="F101" s="49" t="str">
        <f ca="1">IFERROR(INDEX('Gantt Cutover'!$G$6:$G$63,MATCH(55,'Gantt Cutover'!$BA$6:$BA$63,0)),"")</f>
        <v/>
      </c>
      <c r="G101" s="49" t="str">
        <f ca="1">IFERROR(INDEX('Equipo y Calendario'!$B$5:$B$24,MATCH(F101,'Equipo y Calendario'!$A$5:$A$24,0)),"")</f>
        <v/>
      </c>
      <c r="H101" s="49" t="str">
        <f ca="1">IFERROR(INDEX('Gantt Cutover'!$H$6:$H$63,MATCH(55,'Gantt Cutover'!$BA$6:$BA$63,0)),"")</f>
        <v/>
      </c>
      <c r="I101" s="49" t="str">
        <f ca="1">IFERROR(INDEX('Gantt Cutover'!$I$6:$I$63,MATCH(55,'Gantt Cutover'!$BA$6:$BA$63,0)),"")</f>
        <v/>
      </c>
      <c r="J101" s="50" t="str">
        <f ca="1">IFERROR(INDEX('Gantt Cutover'!$J$6:$J$63,MATCH(55,'Gantt Cutover'!$BA$6:$BA$63,0)),"")</f>
        <v/>
      </c>
      <c r="K101" s="50" t="str">
        <f ca="1">IFERROR(INDEX('Gantt Cutover'!$K$6:$K$63,MATCH(55,'Gantt Cutover'!$BA$6:$BA$63,0)),"")</f>
        <v/>
      </c>
      <c r="L101" s="48" t="str">
        <f ca="1">IFERROR(INDEX('Gantt Cutover'!$M$6:$M$63,MATCH(55,'Gantt Cutover'!$BA$6:$BA$63,0)),"")</f>
        <v/>
      </c>
    </row>
    <row r="102" spans="2:12" ht="27.75" customHeight="1" x14ac:dyDescent="0.3">
      <c r="B102" s="47">
        <v>56</v>
      </c>
      <c r="C102" s="48" t="str">
        <f ca="1">IFERROR(INDEX('Gantt Cutover'!$A$6:$A$63,MATCH(56,'Gantt Cutover'!$BA$6:$BA$63,0)),"")</f>
        <v/>
      </c>
      <c r="D102" s="48" t="str">
        <f ca="1">IFERROR(INDEX('Gantt Cutover'!$B$6:$B$63,MATCH(56,'Gantt Cutover'!$BA$6:$BA$63,0)),"")</f>
        <v/>
      </c>
      <c r="E102" s="49" t="str">
        <f ca="1">IFERROR(INDEX('Gantt Cutover'!$C$6:$C$63,MATCH(56,'Gantt Cutover'!$BA$6:$BA$63,0)),"")</f>
        <v/>
      </c>
      <c r="F102" s="49" t="str">
        <f ca="1">IFERROR(INDEX('Gantt Cutover'!$G$6:$G$63,MATCH(56,'Gantt Cutover'!$BA$6:$BA$63,0)),"")</f>
        <v/>
      </c>
      <c r="G102" s="49" t="str">
        <f ca="1">IFERROR(INDEX('Equipo y Calendario'!$B$5:$B$24,MATCH(F102,'Equipo y Calendario'!$A$5:$A$24,0)),"")</f>
        <v/>
      </c>
      <c r="H102" s="49" t="str">
        <f ca="1">IFERROR(INDEX('Gantt Cutover'!$H$6:$H$63,MATCH(56,'Gantt Cutover'!$BA$6:$BA$63,0)),"")</f>
        <v/>
      </c>
      <c r="I102" s="49" t="str">
        <f ca="1">IFERROR(INDEX('Gantt Cutover'!$I$6:$I$63,MATCH(56,'Gantt Cutover'!$BA$6:$BA$63,0)),"")</f>
        <v/>
      </c>
      <c r="J102" s="50" t="str">
        <f ca="1">IFERROR(INDEX('Gantt Cutover'!$J$6:$J$63,MATCH(56,'Gantt Cutover'!$BA$6:$BA$63,0)),"")</f>
        <v/>
      </c>
      <c r="K102" s="50" t="str">
        <f ca="1">IFERROR(INDEX('Gantt Cutover'!$K$6:$K$63,MATCH(56,'Gantt Cutover'!$BA$6:$BA$63,0)),"")</f>
        <v/>
      </c>
      <c r="L102" s="48" t="str">
        <f ca="1">IFERROR(INDEX('Gantt Cutover'!$M$6:$M$63,MATCH(56,'Gantt Cutover'!$BA$6:$BA$63,0)),"")</f>
        <v/>
      </c>
    </row>
    <row r="103" spans="2:12" ht="27.75" customHeight="1" x14ac:dyDescent="0.3">
      <c r="B103" s="47">
        <v>57</v>
      </c>
      <c r="C103" s="48" t="str">
        <f ca="1">IFERROR(INDEX('Gantt Cutover'!$A$6:$A$63,MATCH(57,'Gantt Cutover'!$BA$6:$BA$63,0)),"")</f>
        <v/>
      </c>
      <c r="D103" s="48" t="str">
        <f ca="1">IFERROR(INDEX('Gantt Cutover'!$B$6:$B$63,MATCH(57,'Gantt Cutover'!$BA$6:$BA$63,0)),"")</f>
        <v/>
      </c>
      <c r="E103" s="49" t="str">
        <f ca="1">IFERROR(INDEX('Gantt Cutover'!$C$6:$C$63,MATCH(57,'Gantt Cutover'!$BA$6:$BA$63,0)),"")</f>
        <v/>
      </c>
      <c r="F103" s="49" t="str">
        <f ca="1">IFERROR(INDEX('Gantt Cutover'!$G$6:$G$63,MATCH(57,'Gantt Cutover'!$BA$6:$BA$63,0)),"")</f>
        <v/>
      </c>
      <c r="G103" s="49" t="str">
        <f ca="1">IFERROR(INDEX('Equipo y Calendario'!$B$5:$B$24,MATCH(F103,'Equipo y Calendario'!$A$5:$A$24,0)),"")</f>
        <v/>
      </c>
      <c r="H103" s="49" t="str">
        <f ca="1">IFERROR(INDEX('Gantt Cutover'!$H$6:$H$63,MATCH(57,'Gantt Cutover'!$BA$6:$BA$63,0)),"")</f>
        <v/>
      </c>
      <c r="I103" s="49" t="str">
        <f ca="1">IFERROR(INDEX('Gantt Cutover'!$I$6:$I$63,MATCH(57,'Gantt Cutover'!$BA$6:$BA$63,0)),"")</f>
        <v/>
      </c>
      <c r="J103" s="50" t="str">
        <f ca="1">IFERROR(INDEX('Gantt Cutover'!$J$6:$J$63,MATCH(57,'Gantt Cutover'!$BA$6:$BA$63,0)),"")</f>
        <v/>
      </c>
      <c r="K103" s="50" t="str">
        <f ca="1">IFERROR(INDEX('Gantt Cutover'!$K$6:$K$63,MATCH(57,'Gantt Cutover'!$BA$6:$BA$63,0)),"")</f>
        <v/>
      </c>
      <c r="L103" s="48" t="str">
        <f ca="1">IFERROR(INDEX('Gantt Cutover'!$M$6:$M$63,MATCH(57,'Gantt Cutover'!$BA$6:$BA$63,0)),"")</f>
        <v/>
      </c>
    </row>
    <row r="104" spans="2:12" ht="27.75" customHeight="1" x14ac:dyDescent="0.3">
      <c r="B104" s="47">
        <v>58</v>
      </c>
      <c r="C104" s="48" t="str">
        <f ca="1">IFERROR(INDEX('Gantt Cutover'!$A$6:$A$63,MATCH(58,'Gantt Cutover'!$BA$6:$BA$63,0)),"")</f>
        <v/>
      </c>
      <c r="D104" s="48" t="str">
        <f ca="1">IFERROR(INDEX('Gantt Cutover'!$B$6:$B$63,MATCH(58,'Gantt Cutover'!$BA$6:$BA$63,0)),"")</f>
        <v/>
      </c>
      <c r="E104" s="49" t="str">
        <f ca="1">IFERROR(INDEX('Gantt Cutover'!$C$6:$C$63,MATCH(58,'Gantt Cutover'!$BA$6:$BA$63,0)),"")</f>
        <v/>
      </c>
      <c r="F104" s="49" t="str">
        <f ca="1">IFERROR(INDEX('Gantt Cutover'!$G$6:$G$63,MATCH(58,'Gantt Cutover'!$BA$6:$BA$63,0)),"")</f>
        <v/>
      </c>
      <c r="G104" s="49" t="str">
        <f ca="1">IFERROR(INDEX('Equipo y Calendario'!$B$5:$B$24,MATCH(F104,'Equipo y Calendario'!$A$5:$A$24,0)),"")</f>
        <v/>
      </c>
      <c r="H104" s="49" t="str">
        <f ca="1">IFERROR(INDEX('Gantt Cutover'!$H$6:$H$63,MATCH(58,'Gantt Cutover'!$BA$6:$BA$63,0)),"")</f>
        <v/>
      </c>
      <c r="I104" s="49" t="str">
        <f ca="1">IFERROR(INDEX('Gantt Cutover'!$I$6:$I$63,MATCH(58,'Gantt Cutover'!$BA$6:$BA$63,0)),"")</f>
        <v/>
      </c>
      <c r="J104" s="50" t="str">
        <f ca="1">IFERROR(INDEX('Gantt Cutover'!$J$6:$J$63,MATCH(58,'Gantt Cutover'!$BA$6:$BA$63,0)),"")</f>
        <v/>
      </c>
      <c r="K104" s="50" t="str">
        <f ca="1">IFERROR(INDEX('Gantt Cutover'!$K$6:$K$63,MATCH(58,'Gantt Cutover'!$BA$6:$BA$63,0)),"")</f>
        <v/>
      </c>
      <c r="L104" s="48" t="str">
        <f ca="1">IFERROR(INDEX('Gantt Cutover'!$M$6:$M$63,MATCH(58,'Gantt Cutover'!$BA$6:$BA$63,0)),"")</f>
        <v/>
      </c>
    </row>
    <row r="105" spans="2:12" ht="27.75" customHeight="1" x14ac:dyDescent="0.3">
      <c r="B105" s="47">
        <v>59</v>
      </c>
      <c r="C105" s="48" t="str">
        <f ca="1">IFERROR(INDEX('Gantt Cutover'!$A$6:$A$63,MATCH(59,'Gantt Cutover'!$BA$6:$BA$63,0)),"")</f>
        <v/>
      </c>
      <c r="D105" s="48" t="str">
        <f ca="1">IFERROR(INDEX('Gantt Cutover'!$B$6:$B$63,MATCH(59,'Gantt Cutover'!$BA$6:$BA$63,0)),"")</f>
        <v/>
      </c>
      <c r="E105" s="49" t="str">
        <f ca="1">IFERROR(INDEX('Gantt Cutover'!$C$6:$C$63,MATCH(59,'Gantt Cutover'!$BA$6:$BA$63,0)),"")</f>
        <v/>
      </c>
      <c r="F105" s="49" t="str">
        <f ca="1">IFERROR(INDEX('Gantt Cutover'!$G$6:$G$63,MATCH(59,'Gantt Cutover'!$BA$6:$BA$63,0)),"")</f>
        <v/>
      </c>
      <c r="G105" s="49" t="str">
        <f ca="1">IFERROR(INDEX('Equipo y Calendario'!$B$5:$B$24,MATCH(F105,'Equipo y Calendario'!$A$5:$A$24,0)),"")</f>
        <v/>
      </c>
      <c r="H105" s="49" t="str">
        <f ca="1">IFERROR(INDEX('Gantt Cutover'!$H$6:$H$63,MATCH(59,'Gantt Cutover'!$BA$6:$BA$63,0)),"")</f>
        <v/>
      </c>
      <c r="I105" s="49" t="str">
        <f ca="1">IFERROR(INDEX('Gantt Cutover'!$I$6:$I$63,MATCH(59,'Gantt Cutover'!$BA$6:$BA$63,0)),"")</f>
        <v/>
      </c>
      <c r="J105" s="50" t="str">
        <f ca="1">IFERROR(INDEX('Gantt Cutover'!$J$6:$J$63,MATCH(59,'Gantt Cutover'!$BA$6:$BA$63,0)),"")</f>
        <v/>
      </c>
      <c r="K105" s="50" t="str">
        <f ca="1">IFERROR(INDEX('Gantt Cutover'!$K$6:$K$63,MATCH(59,'Gantt Cutover'!$BA$6:$BA$63,0)),"")</f>
        <v/>
      </c>
      <c r="L105" s="48" t="str">
        <f ca="1">IFERROR(INDEX('Gantt Cutover'!$M$6:$M$63,MATCH(59,'Gantt Cutover'!$BA$6:$BA$63,0)),"")</f>
        <v/>
      </c>
    </row>
    <row r="106" spans="2:12" ht="27.75" customHeight="1" x14ac:dyDescent="0.3">
      <c r="B106" s="47">
        <v>60</v>
      </c>
      <c r="C106" s="48" t="str">
        <f ca="1">IFERROR(INDEX('Gantt Cutover'!$A$6:$A$63,MATCH(60,'Gantt Cutover'!$BA$6:$BA$63,0)),"")</f>
        <v/>
      </c>
      <c r="D106" s="48" t="str">
        <f ca="1">IFERROR(INDEX('Gantt Cutover'!$B$6:$B$63,MATCH(60,'Gantt Cutover'!$BA$6:$BA$63,0)),"")</f>
        <v/>
      </c>
      <c r="E106" s="49" t="str">
        <f ca="1">IFERROR(INDEX('Gantt Cutover'!$C$6:$C$63,MATCH(60,'Gantt Cutover'!$BA$6:$BA$63,0)),"")</f>
        <v/>
      </c>
      <c r="F106" s="49" t="str">
        <f ca="1">IFERROR(INDEX('Gantt Cutover'!$G$6:$G$63,MATCH(60,'Gantt Cutover'!$BA$6:$BA$63,0)),"")</f>
        <v/>
      </c>
      <c r="G106" s="49" t="str">
        <f ca="1">IFERROR(INDEX('Equipo y Calendario'!$B$5:$B$24,MATCH(F106,'Equipo y Calendario'!$A$5:$A$24,0)),"")</f>
        <v/>
      </c>
      <c r="H106" s="49" t="str">
        <f ca="1">IFERROR(INDEX('Gantt Cutover'!$H$6:$H$63,MATCH(60,'Gantt Cutover'!$BA$6:$BA$63,0)),"")</f>
        <v/>
      </c>
      <c r="I106" s="49" t="str">
        <f ca="1">IFERROR(INDEX('Gantt Cutover'!$I$6:$I$63,MATCH(60,'Gantt Cutover'!$BA$6:$BA$63,0)),"")</f>
        <v/>
      </c>
      <c r="J106" s="50" t="str">
        <f ca="1">IFERROR(INDEX('Gantt Cutover'!$J$6:$J$63,MATCH(60,'Gantt Cutover'!$BA$6:$BA$63,0)),"")</f>
        <v/>
      </c>
      <c r="K106" s="50" t="str">
        <f ca="1">IFERROR(INDEX('Gantt Cutover'!$K$6:$K$63,MATCH(60,'Gantt Cutover'!$BA$6:$BA$63,0)),"")</f>
        <v/>
      </c>
      <c r="L106" s="48" t="str">
        <f ca="1">IFERROR(INDEX('Gantt Cutover'!$M$6:$M$63,MATCH(60,'Gantt Cutover'!$BA$6:$BA$63,0)),"")</f>
        <v/>
      </c>
    </row>
    <row r="107" spans="2:12" ht="27.75" customHeight="1" x14ac:dyDescent="0.3">
      <c r="B107" s="47">
        <v>61</v>
      </c>
      <c r="C107" s="48" t="str">
        <f ca="1">IFERROR(INDEX('Gantt Cutover'!$A$6:$A$63,MATCH(61,'Gantt Cutover'!$BA$6:$BA$63,0)),"")</f>
        <v/>
      </c>
      <c r="D107" s="48" t="str">
        <f ca="1">IFERROR(INDEX('Gantt Cutover'!$B$6:$B$63,MATCH(61,'Gantt Cutover'!$BA$6:$BA$63,0)),"")</f>
        <v/>
      </c>
      <c r="E107" s="49" t="str">
        <f ca="1">IFERROR(INDEX('Gantt Cutover'!$C$6:$C$63,MATCH(61,'Gantt Cutover'!$BA$6:$BA$63,0)),"")</f>
        <v/>
      </c>
      <c r="F107" s="49" t="str">
        <f ca="1">IFERROR(INDEX('Gantt Cutover'!$G$6:$G$63,MATCH(61,'Gantt Cutover'!$BA$6:$BA$63,0)),"")</f>
        <v/>
      </c>
      <c r="G107" s="49" t="str">
        <f ca="1">IFERROR(INDEX('Equipo y Calendario'!$B$5:$B$24,MATCH(F107,'Equipo y Calendario'!$A$5:$A$24,0)),"")</f>
        <v/>
      </c>
      <c r="H107" s="49" t="str">
        <f ca="1">IFERROR(INDEX('Gantt Cutover'!$H$6:$H$63,MATCH(61,'Gantt Cutover'!$BA$6:$BA$63,0)),"")</f>
        <v/>
      </c>
      <c r="I107" s="49" t="str">
        <f ca="1">IFERROR(INDEX('Gantt Cutover'!$I$6:$I$63,MATCH(61,'Gantt Cutover'!$BA$6:$BA$63,0)),"")</f>
        <v/>
      </c>
      <c r="J107" s="50" t="str">
        <f ca="1">IFERROR(INDEX('Gantt Cutover'!$J$6:$J$63,MATCH(61,'Gantt Cutover'!$BA$6:$BA$63,0)),"")</f>
        <v/>
      </c>
      <c r="K107" s="50" t="str">
        <f ca="1">IFERROR(INDEX('Gantt Cutover'!$K$6:$K$63,MATCH(61,'Gantt Cutover'!$BA$6:$BA$63,0)),"")</f>
        <v/>
      </c>
      <c r="L107" s="48" t="str">
        <f ca="1">IFERROR(INDEX('Gantt Cutover'!$M$6:$M$63,MATCH(61,'Gantt Cutover'!$BA$6:$BA$63,0)),"")</f>
        <v/>
      </c>
    </row>
    <row r="108" spans="2:12" ht="27.75" customHeight="1" x14ac:dyDescent="0.3">
      <c r="B108" s="47">
        <v>62</v>
      </c>
      <c r="C108" s="48" t="str">
        <f ca="1">IFERROR(INDEX('Gantt Cutover'!$A$6:$A$63,MATCH(62,'Gantt Cutover'!$BA$6:$BA$63,0)),"")</f>
        <v/>
      </c>
      <c r="D108" s="48" t="str">
        <f ca="1">IFERROR(INDEX('Gantt Cutover'!$B$6:$B$63,MATCH(62,'Gantt Cutover'!$BA$6:$BA$63,0)),"")</f>
        <v/>
      </c>
      <c r="E108" s="49" t="str">
        <f ca="1">IFERROR(INDEX('Gantt Cutover'!$C$6:$C$63,MATCH(62,'Gantt Cutover'!$BA$6:$BA$63,0)),"")</f>
        <v/>
      </c>
      <c r="F108" s="49" t="str">
        <f ca="1">IFERROR(INDEX('Gantt Cutover'!$G$6:$G$63,MATCH(62,'Gantt Cutover'!$BA$6:$BA$63,0)),"")</f>
        <v/>
      </c>
      <c r="G108" s="49" t="str">
        <f ca="1">IFERROR(INDEX('Equipo y Calendario'!$B$5:$B$24,MATCH(F108,'Equipo y Calendario'!$A$5:$A$24,0)),"")</f>
        <v/>
      </c>
      <c r="H108" s="49" t="str">
        <f ca="1">IFERROR(INDEX('Gantt Cutover'!$H$6:$H$63,MATCH(62,'Gantt Cutover'!$BA$6:$BA$63,0)),"")</f>
        <v/>
      </c>
      <c r="I108" s="49" t="str">
        <f ca="1">IFERROR(INDEX('Gantt Cutover'!$I$6:$I$63,MATCH(62,'Gantt Cutover'!$BA$6:$BA$63,0)),"")</f>
        <v/>
      </c>
      <c r="J108" s="50" t="str">
        <f ca="1">IFERROR(INDEX('Gantt Cutover'!$J$6:$J$63,MATCH(62,'Gantt Cutover'!$BA$6:$BA$63,0)),"")</f>
        <v/>
      </c>
      <c r="K108" s="50" t="str">
        <f ca="1">IFERROR(INDEX('Gantt Cutover'!$K$6:$K$63,MATCH(62,'Gantt Cutover'!$BA$6:$BA$63,0)),"")</f>
        <v/>
      </c>
      <c r="L108" s="48" t="str">
        <f ca="1">IFERROR(INDEX('Gantt Cutover'!$M$6:$M$63,MATCH(62,'Gantt Cutover'!$BA$6:$BA$63,0)),"")</f>
        <v/>
      </c>
    </row>
  </sheetData>
  <conditionalFormatting sqref="L14:L43">
    <cfRule type="cellIs" dxfId="7" priority="2" operator="equal">
      <formula>"Finalizado"</formula>
    </cfRule>
    <cfRule type="cellIs" dxfId="6" priority="3" operator="equal">
      <formula>"En curso"</formula>
    </cfRule>
    <cfRule type="cellIs" dxfId="5" priority="4" operator="equal">
      <formula>"Demorado"</formula>
    </cfRule>
    <cfRule type="cellIs" dxfId="4" priority="5" operator="equal">
      <formula>"No iniciado"</formula>
    </cfRule>
  </conditionalFormatting>
  <conditionalFormatting sqref="L47:L108">
    <cfRule type="cellIs" dxfId="3" priority="6" operator="equal">
      <formula>"Finalizado"</formula>
    </cfRule>
    <cfRule type="cellIs" dxfId="2" priority="7" operator="equal">
      <formula>"En curso"</formula>
    </cfRule>
    <cfRule type="cellIs" dxfId="1" priority="8" operator="equal">
      <formula>"Demorado"</formula>
    </cfRule>
    <cfRule type="cellIs" dxfId="0" priority="9" operator="equal">
      <formula>"No iniciado"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D40"/>
  <sheetViews>
    <sheetView showGridLines="0" zoomScaleNormal="100" workbookViewId="0"/>
  </sheetViews>
  <sheetFormatPr baseColWidth="10" defaultColWidth="8.6640625" defaultRowHeight="14.4" x14ac:dyDescent="0.3"/>
  <cols>
    <col min="1" max="1" width="36" customWidth="1"/>
    <col min="2" max="2" width="32" customWidth="1"/>
    <col min="3" max="3" width="24" customWidth="1"/>
    <col min="4" max="4" width="22" customWidth="1"/>
  </cols>
  <sheetData>
    <row r="1" spans="1:4" ht="21" x14ac:dyDescent="0.4">
      <c r="A1" s="1" t="s">
        <v>300</v>
      </c>
    </row>
    <row r="2" spans="1:4" x14ac:dyDescent="0.3">
      <c r="A2" s="2" t="s">
        <v>301</v>
      </c>
    </row>
    <row r="4" spans="1:4" x14ac:dyDescent="0.3">
      <c r="A4" s="6" t="s">
        <v>302</v>
      </c>
      <c r="B4" s="6" t="s">
        <v>303</v>
      </c>
      <c r="C4" s="6" t="s">
        <v>304</v>
      </c>
      <c r="D4" s="6" t="s">
        <v>305</v>
      </c>
    </row>
    <row r="5" spans="1:4" x14ac:dyDescent="0.3">
      <c r="A5" s="51" t="s">
        <v>306</v>
      </c>
      <c r="B5" s="52" t="s">
        <v>307</v>
      </c>
      <c r="C5" s="53" t="s">
        <v>308</v>
      </c>
      <c r="D5" s="53" t="s">
        <v>309</v>
      </c>
    </row>
    <row r="6" spans="1:4" x14ac:dyDescent="0.3">
      <c r="A6" s="51" t="s">
        <v>108</v>
      </c>
      <c r="B6" s="52" t="s">
        <v>310</v>
      </c>
      <c r="C6" s="53" t="s">
        <v>308</v>
      </c>
      <c r="D6" s="53" t="s">
        <v>309</v>
      </c>
    </row>
    <row r="7" spans="1:4" x14ac:dyDescent="0.3">
      <c r="A7" s="51" t="s">
        <v>146</v>
      </c>
      <c r="B7" s="52" t="s">
        <v>311</v>
      </c>
      <c r="C7" s="53" t="s">
        <v>308</v>
      </c>
      <c r="D7" s="53" t="s">
        <v>309</v>
      </c>
    </row>
    <row r="8" spans="1:4" x14ac:dyDescent="0.3">
      <c r="A8" s="51" t="s">
        <v>138</v>
      </c>
      <c r="B8" s="52" t="s">
        <v>312</v>
      </c>
      <c r="C8" s="53" t="s">
        <v>308</v>
      </c>
      <c r="D8" s="53" t="s">
        <v>309</v>
      </c>
    </row>
    <row r="9" spans="1:4" x14ac:dyDescent="0.3">
      <c r="A9" s="51" t="s">
        <v>118</v>
      </c>
      <c r="B9" s="52" t="s">
        <v>313</v>
      </c>
      <c r="C9" s="53" t="s">
        <v>308</v>
      </c>
      <c r="D9" s="53" t="s">
        <v>309</v>
      </c>
    </row>
    <row r="10" spans="1:4" x14ac:dyDescent="0.3">
      <c r="A10" s="51" t="s">
        <v>38</v>
      </c>
      <c r="B10" s="52" t="s">
        <v>314</v>
      </c>
      <c r="C10" s="53" t="s">
        <v>315</v>
      </c>
      <c r="D10" s="53" t="s">
        <v>316</v>
      </c>
    </row>
    <row r="11" spans="1:4" x14ac:dyDescent="0.3">
      <c r="A11" s="51" t="s">
        <v>50</v>
      </c>
      <c r="B11" s="52" t="s">
        <v>317</v>
      </c>
      <c r="C11" s="53" t="s">
        <v>315</v>
      </c>
      <c r="D11" s="53" t="s">
        <v>316</v>
      </c>
    </row>
    <row r="12" spans="1:4" x14ac:dyDescent="0.3">
      <c r="A12" s="51" t="s">
        <v>75</v>
      </c>
      <c r="B12" s="52" t="s">
        <v>318</v>
      </c>
      <c r="C12" s="53" t="s">
        <v>315</v>
      </c>
      <c r="D12" s="53" t="s">
        <v>316</v>
      </c>
    </row>
    <row r="13" spans="1:4" x14ac:dyDescent="0.3">
      <c r="A13" s="51" t="s">
        <v>96</v>
      </c>
      <c r="B13" s="52" t="s">
        <v>319</v>
      </c>
      <c r="C13" s="53" t="s">
        <v>315</v>
      </c>
      <c r="D13" s="53" t="s">
        <v>320</v>
      </c>
    </row>
    <row r="14" spans="1:4" x14ac:dyDescent="0.3">
      <c r="A14" s="51" t="s">
        <v>262</v>
      </c>
      <c r="B14" s="52" t="s">
        <v>321</v>
      </c>
      <c r="C14" s="53" t="s">
        <v>315</v>
      </c>
      <c r="D14" s="53" t="s">
        <v>320</v>
      </c>
    </row>
    <row r="15" spans="1:4" x14ac:dyDescent="0.3">
      <c r="A15" s="51" t="s">
        <v>322</v>
      </c>
      <c r="B15" s="52" t="s">
        <v>323</v>
      </c>
      <c r="C15" s="53" t="s">
        <v>315</v>
      </c>
      <c r="D15" s="53" t="s">
        <v>316</v>
      </c>
    </row>
    <row r="16" spans="1:4" x14ac:dyDescent="0.3">
      <c r="A16" s="51" t="s">
        <v>214</v>
      </c>
      <c r="B16" s="52" t="s">
        <v>324</v>
      </c>
      <c r="C16" s="53" t="s">
        <v>315</v>
      </c>
      <c r="D16" s="53" t="s">
        <v>325</v>
      </c>
    </row>
    <row r="17" spans="1:4" x14ac:dyDescent="0.3">
      <c r="A17" s="51" t="s">
        <v>45</v>
      </c>
      <c r="B17" s="52" t="s">
        <v>324</v>
      </c>
      <c r="C17" s="53" t="s">
        <v>315</v>
      </c>
      <c r="D17" s="53" t="s">
        <v>326</v>
      </c>
    </row>
    <row r="18" spans="1:4" x14ac:dyDescent="0.3">
      <c r="A18" s="51" t="s">
        <v>49</v>
      </c>
      <c r="B18" s="52" t="s">
        <v>327</v>
      </c>
      <c r="C18" s="53" t="s">
        <v>328</v>
      </c>
      <c r="D18" s="53" t="s">
        <v>329</v>
      </c>
    </row>
    <row r="19" spans="1:4" x14ac:dyDescent="0.3">
      <c r="A19" s="51" t="s">
        <v>65</v>
      </c>
      <c r="B19" s="52" t="s">
        <v>330</v>
      </c>
      <c r="C19" s="53" t="s">
        <v>331</v>
      </c>
      <c r="D19" s="53" t="s">
        <v>67</v>
      </c>
    </row>
    <row r="20" spans="1:4" x14ac:dyDescent="0.3">
      <c r="A20" s="51" t="s">
        <v>257</v>
      </c>
      <c r="B20" s="52" t="s">
        <v>332</v>
      </c>
      <c r="C20" s="53" t="s">
        <v>331</v>
      </c>
      <c r="D20" s="53" t="s">
        <v>67</v>
      </c>
    </row>
    <row r="21" spans="1:4" x14ac:dyDescent="0.3">
      <c r="A21" s="51" t="s">
        <v>252</v>
      </c>
      <c r="B21" s="52" t="s">
        <v>333</v>
      </c>
      <c r="C21" s="53" t="s">
        <v>331</v>
      </c>
      <c r="D21" s="53" t="s">
        <v>67</v>
      </c>
    </row>
    <row r="22" spans="1:4" x14ac:dyDescent="0.3">
      <c r="A22" s="51" t="s">
        <v>334</v>
      </c>
      <c r="B22" s="52" t="s">
        <v>335</v>
      </c>
      <c r="C22" s="53" t="s">
        <v>331</v>
      </c>
      <c r="D22" s="53" t="s">
        <v>67</v>
      </c>
    </row>
    <row r="23" spans="1:4" x14ac:dyDescent="0.3">
      <c r="A23" s="51" t="s">
        <v>336</v>
      </c>
      <c r="B23" s="52" t="s">
        <v>337</v>
      </c>
      <c r="C23" s="53" t="s">
        <v>338</v>
      </c>
      <c r="D23" s="53" t="s">
        <v>67</v>
      </c>
    </row>
    <row r="24" spans="1:4" x14ac:dyDescent="0.3">
      <c r="A24" s="51" t="s">
        <v>57</v>
      </c>
      <c r="B24" s="52" t="s">
        <v>339</v>
      </c>
      <c r="C24" s="53" t="s">
        <v>340</v>
      </c>
      <c r="D24" s="53" t="s">
        <v>341</v>
      </c>
    </row>
    <row r="27" spans="1:4" ht="15.6" x14ac:dyDescent="0.3">
      <c r="A27" s="32" t="s">
        <v>342</v>
      </c>
    </row>
    <row r="28" spans="1:4" x14ac:dyDescent="0.3">
      <c r="A28" s="54" t="s">
        <v>343</v>
      </c>
      <c r="B28" s="55">
        <v>46335</v>
      </c>
    </row>
    <row r="29" spans="1:4" x14ac:dyDescent="0.3">
      <c r="A29" s="54" t="s">
        <v>344</v>
      </c>
      <c r="B29" s="55">
        <v>46328</v>
      </c>
    </row>
    <row r="30" spans="1:4" x14ac:dyDescent="0.3">
      <c r="A30" s="54" t="s">
        <v>345</v>
      </c>
      <c r="B30" s="55">
        <v>46338</v>
      </c>
    </row>
    <row r="32" spans="1:4" x14ac:dyDescent="0.3">
      <c r="A32" s="54" t="s">
        <v>346</v>
      </c>
    </row>
    <row r="33" spans="1:2" x14ac:dyDescent="0.3">
      <c r="A33" s="44" t="s">
        <v>347</v>
      </c>
      <c r="B33" s="56">
        <v>46328</v>
      </c>
    </row>
    <row r="40" spans="1:2" x14ac:dyDescent="0.3">
      <c r="A40" s="57" t="s">
        <v>348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Gantt Cutover</vt:lpstr>
      <vt:lpstr>Resumen</vt:lpstr>
      <vt:lpstr>Hoy</vt:lpstr>
      <vt:lpstr>Equipo y 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Salinas</cp:lastModifiedBy>
  <cp:revision>0</cp:revision>
  <dcterms:created xsi:type="dcterms:W3CDTF">2026-10-28T13:45:02Z</dcterms:created>
  <dcterms:modified xsi:type="dcterms:W3CDTF">2026-10-28T14:18:50Z</dcterms:modified>
  <dc:language>en-US</dc:language>
</cp:coreProperties>
</file>